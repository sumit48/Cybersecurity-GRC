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66925"/>
  <bookViews>
    <workbookView activeTab="7"/>
  </bookViews>
  <sheets>
    <sheet name="Application Inventory" sheetId="1" r:id="rId1"/>
    <sheet name="Risk Register" sheetId="2" r:id="rId2"/>
    <sheet name="Findings" sheetId="3" r:id="rId3"/>
    <sheet name="Remediation" sheetId="4" r:id="rId4"/>
    <sheet name="Assesment" sheetId="5" r:id="rId5"/>
    <sheet name="Compliance" sheetId="6" r:id="rId6"/>
    <sheet name="KPI Report" sheetId="7" r:id="rId7"/>
    <sheet name="Dashboard" sheetId="8" r:id="rId8"/>
  </sheets>
  <calcPr fullPrecision="1" calcId="125725"/>
</workbook>
</file>

<file path=xl/sharedStrings.xml><?xml version="1.0" encoding="utf-8"?>
<sst xmlns="http://schemas.openxmlformats.org/spreadsheetml/2006/main" uniqueCount="310" count="612">
  <si>
    <t>Application Inventory</t>
  </si>
  <si>
    <t>List of IT applications/platform services being assessed.</t>
  </si>
  <si>
    <t>Application ID</t>
  </si>
  <si>
    <t>Type</t>
  </si>
  <si>
    <t>Business Unit</t>
  </si>
  <si>
    <t>Criticality</t>
  </si>
  <si>
    <t>Hosting</t>
  </si>
  <si>
    <t>Technology</t>
  </si>
  <si>
    <t>Owner Role</t>
  </si>
  <si>
    <t>Status</t>
  </si>
  <si>
    <t>APP-001</t>
  </si>
  <si>
    <t>Finance ERP</t>
  </si>
  <si>
    <t>Application</t>
  </si>
  <si>
    <t>Finance</t>
  </si>
  <si>
    <t>Business Critical</t>
  </si>
  <si>
    <t>Cloud</t>
  </si>
  <si>
    <t>SAP S/4HANA</t>
  </si>
  <si>
    <t>Owner - Finance IT</t>
  </si>
  <si>
    <t>Active</t>
  </si>
  <si>
    <t>APP-002</t>
  </si>
  <si>
    <t>HR Portal</t>
  </si>
  <si>
    <t>HR</t>
  </si>
  <si>
    <t>High</t>
  </si>
  <si>
    <t>Workday</t>
  </si>
  <si>
    <t>Owner - HR IT</t>
  </si>
  <si>
    <t>APP-003</t>
  </si>
  <si>
    <t>Customer API Gateway</t>
  </si>
  <si>
    <t>Platform Service</t>
  </si>
  <si>
    <t>Digital</t>
  </si>
  <si>
    <t>API Management</t>
  </si>
  <si>
    <t>Platform Team</t>
  </si>
  <si>
    <t>APP-004</t>
  </si>
  <si>
    <t>Manufacturing MES</t>
  </si>
  <si>
    <t>Operations</t>
  </si>
  <si>
    <t>On-Prem</t>
  </si>
  <si>
    <t>MES Platform</t>
  </si>
  <si>
    <t>OT Applications</t>
  </si>
  <si>
    <t>APP-005</t>
  </si>
  <si>
    <t>Supplier Portal</t>
  </si>
  <si>
    <t>Procurement</t>
  </si>
  <si>
    <t>Web Application</t>
  </si>
  <si>
    <t>Procurement IT</t>
  </si>
  <si>
    <t>APP-006</t>
  </si>
  <si>
    <t>Data Lake Platform</t>
  </si>
  <si>
    <t>Data &amp; Analytics</t>
  </si>
  <si>
    <t>Azure Data Lake</t>
  </si>
  <si>
    <t>Data Platform</t>
  </si>
  <si>
    <t>APP-007</t>
  </si>
  <si>
    <t>Identity Service</t>
  </si>
  <si>
    <t>Enterprise IT</t>
  </si>
  <si>
    <t>Hybrid</t>
  </si>
  <si>
    <t>Entra ID / AD</t>
  </si>
  <si>
    <t>IAM Team</t>
  </si>
  <si>
    <t>APP-008</t>
  </si>
  <si>
    <t>ITSM Platform</t>
  </si>
  <si>
    <t>IT</t>
  </si>
  <si>
    <t>ServiceNow</t>
  </si>
  <si>
    <t>IT Operations</t>
  </si>
  <si>
    <t>APP-009</t>
  </si>
  <si>
    <t>Corporate Collaboration</t>
  </si>
  <si>
    <t>Corporate</t>
  </si>
  <si>
    <t>Medium</t>
  </si>
  <si>
    <t>M365</t>
  </si>
  <si>
    <t>Digital Workplace</t>
  </si>
  <si>
    <t>APP-010</t>
  </si>
  <si>
    <t>Vulnerability Scanner</t>
  </si>
  <si>
    <t>Security</t>
  </si>
  <si>
    <t>Tenable</t>
  </si>
  <si>
    <t>Security Operations</t>
  </si>
  <si>
    <t>Risk Register</t>
  </si>
  <si>
    <t>Risk Score:Likelihood*Impact | 1–4 = Low | 5–9 = Medium | 10–16 = High | 17–25 = Critical</t>
  </si>
  <si>
    <t>Risk ID</t>
  </si>
  <si>
    <t>Risk Category</t>
  </si>
  <si>
    <t>Risk Description</t>
  </si>
  <si>
    <t>Likelihood</t>
  </si>
  <si>
    <t>Impact</t>
  </si>
  <si>
    <t>Risk Score</t>
  </si>
  <si>
    <t>Risk Level</t>
  </si>
  <si>
    <t>Risk Owner</t>
  </si>
  <si>
    <t>Mitigation / Recommended Action</t>
  </si>
  <si>
    <t>RSK-001</t>
  </si>
  <si>
    <t>RSK-002</t>
  </si>
  <si>
    <t>Access Management</t>
  </si>
  <si>
    <t>Excessive user privileges may allow unauthorized access to financial data</t>
  </si>
  <si>
    <t>Review user roles and apply least privilege</t>
  </si>
  <si>
    <t>In Progress</t>
  </si>
  <si>
    <t>Data Protection</t>
  </si>
  <si>
    <t>Sensitive financial data may be exposed through incorrect access permissions</t>
  </si>
  <si>
    <t>Review data access and permissions</t>
  </si>
  <si>
    <t>Open</t>
  </si>
  <si>
    <t>RSK-003</t>
  </si>
  <si>
    <t>Missing or weak MFA could allow unauthorized employee account access</t>
  </si>
  <si>
    <t>Enforce MFA for privileged and user accounts</t>
  </si>
  <si>
    <t>RSK-004</t>
  </si>
  <si>
    <t>Personal employee information could be exposed through excessive access</t>
  </si>
  <si>
    <t>Conduct access review and restrict sensitive data access</t>
  </si>
  <si>
    <t>RSK-005</t>
  </si>
  <si>
    <t>Vulnerability Management</t>
  </si>
  <si>
    <t>Unpatched API components may expose services to known vulnerabilities</t>
  </si>
  <si>
    <t>Perform regular vulnerability scanning and patching</t>
  </si>
  <si>
    <t>RSK-006</t>
  </si>
  <si>
    <t>Weak API authentication could allow unauthorized API requests</t>
  </si>
  <si>
    <t>Strengthen authentication and API access controls</t>
  </si>
  <si>
    <t>RSK-007</t>
  </si>
  <si>
    <t>Availability</t>
  </si>
  <si>
    <t>System outage could interrupt manufacturing operations</t>
  </si>
  <si>
    <t>Test backups and maintain recovery procedures</t>
  </si>
  <si>
    <t>RSK-008</t>
  </si>
  <si>
    <t>Outdated software components may contain exploitable vulnerabilities</t>
  </si>
  <si>
    <t>Maintain patch assessment and vulnerability tracking</t>
  </si>
  <si>
    <t>RSK-009</t>
  </si>
  <si>
    <t>Compromised supplier accounts could provide unauthorized portal access</t>
  </si>
  <si>
    <t>Implement MFA and periodic account reviews</t>
  </si>
  <si>
    <t>RSK-010</t>
  </si>
  <si>
    <t>Web application vulnerabilities could expose supplier information</t>
  </si>
  <si>
    <t>Perform periodic vulnerability and security testing</t>
  </si>
  <si>
    <t>RSK-011</t>
  </si>
  <si>
    <t>Incorrect permissions could expose sensitive business data</t>
  </si>
  <si>
    <t>Review access permissions and data classification</t>
  </si>
  <si>
    <t>RSK-012</t>
  </si>
  <si>
    <t>Cloud Security</t>
  </si>
  <si>
    <t>Misconfigured cloud storage could result in unauthorized data exposure</t>
  </si>
  <si>
    <t>Review cloud configuration and access policies</t>
  </si>
  <si>
    <t>RSK-013</t>
  </si>
  <si>
    <t>Compromised identity accounts could provide access to multiple business systems</t>
  </si>
  <si>
    <t>Enforce MFA, privileged access controls and monitoring</t>
  </si>
  <si>
    <t>RSK-014</t>
  </si>
  <si>
    <t>Identity service outage could prevent users from accessing critical applications</t>
  </si>
  <si>
    <t>Maintain redundancy and recovery procedures</t>
  </si>
  <si>
    <t>RSK-015</t>
  </si>
  <si>
    <t>Excessive ITSM privileges could allow unauthorized changes to tickets or configurations</t>
  </si>
  <si>
    <t>Review roles and apply least privilege</t>
  </si>
  <si>
    <t>RSK-016</t>
  </si>
  <si>
    <t>Security Governance</t>
  </si>
  <si>
    <t>Security evidence and ticket information may not be consistently maintained</t>
  </si>
  <si>
    <t>Define documentation and evidence requirements</t>
  </si>
  <si>
    <t>RSK-017</t>
  </si>
  <si>
    <t>Sensitive company information could be shared with unauthorized users</t>
  </si>
  <si>
    <t>Review sharing permissions and external access</t>
  </si>
  <si>
    <t>RSK-018</t>
  </si>
  <si>
    <t>Compromised user accounts could provide access to corporate information</t>
  </si>
  <si>
    <t>Enforce MFA and monitor suspicious sign-ins</t>
  </si>
  <si>
    <t>RSK-019</t>
  </si>
  <si>
    <t>Scanner service failure could reduce vulnerability monitoring coverage</t>
  </si>
  <si>
    <t>Monitor scanner availability and maintain backup processes</t>
  </si>
  <si>
    <t>RSK-020</t>
  </si>
  <si>
    <t>Vulnerability results may not be assigned and remediated within defined timelines</t>
  </si>
  <si>
    <t>Define ownership, SLA and remediation tracking</t>
  </si>
  <si>
    <t>Security Findings</t>
  </si>
  <si>
    <t>Finding ID</t>
  </si>
  <si>
    <t>Finding Category</t>
  </si>
  <si>
    <t>Finding Description</t>
  </si>
  <si>
    <t>Severity</t>
  </si>
  <si>
    <t>Source</t>
  </si>
  <si>
    <t>Owner</t>
  </si>
  <si>
    <t>FIND-001</t>
  </si>
  <si>
    <t>Excessive user privileges identified</t>
  </si>
  <si>
    <t>Access Review</t>
  </si>
  <si>
    <t>Finance IT</t>
  </si>
  <si>
    <t>FIND-002</t>
  </si>
  <si>
    <t>Sensitive financial data access requires review</t>
  </si>
  <si>
    <t>Security Assessment</t>
  </si>
  <si>
    <t>FIND-003</t>
  </si>
  <si>
    <t>Authentication</t>
  </si>
  <si>
    <t>MFA enforcement requires improvement</t>
  </si>
  <si>
    <t>Critical</t>
  </si>
  <si>
    <t>HR IT</t>
  </si>
  <si>
    <t>FIND-004</t>
  </si>
  <si>
    <t>Excessive access to employee information</t>
  </si>
  <si>
    <t>FIND-005</t>
  </si>
  <si>
    <t>Vulnerability</t>
  </si>
  <si>
    <t>Unpatched API components identified</t>
  </si>
  <si>
    <t>Vulnerability Scan</t>
  </si>
  <si>
    <t>FIND-006</t>
  </si>
  <si>
    <t>API authentication controls require improvement</t>
  </si>
  <si>
    <t>FIND-007</t>
  </si>
  <si>
    <t>Recovery testing requires improvement</t>
  </si>
  <si>
    <t>IT/OT Assessment</t>
  </si>
  <si>
    <t>FIND-008</t>
  </si>
  <si>
    <t>Outdated software components identified</t>
  </si>
  <si>
    <t>FIND-009</t>
  </si>
  <si>
    <t>Supplier account access requires periodic review</t>
  </si>
  <si>
    <t>FIND-010</t>
  </si>
  <si>
    <t>Web Security</t>
  </si>
  <si>
    <t>Web application vulnerabilities require remediation</t>
  </si>
  <si>
    <t>Security Testing</t>
  </si>
  <si>
    <t>Remediation Tracker</t>
  </si>
  <si>
    <t>Action ID</t>
  </si>
  <si>
    <t>Remediation Action</t>
  </si>
  <si>
    <t>Priority</t>
  </si>
  <si>
    <t>Target Date</t>
  </si>
  <si>
    <t>Evidence</t>
  </si>
  <si>
    <t>Comments</t>
  </si>
  <si>
    <t>ACT-001</t>
  </si>
  <si>
    <t>Review user roles and remove unnecessary privileges</t>
  </si>
  <si>
    <t>30.09.2026</t>
  </si>
  <si>
    <t>Pending review</t>
  </si>
  <si>
    <t>ACT-002</t>
  </si>
  <si>
    <t>Review permissions for sensitive financial data</t>
  </si>
  <si>
    <t>05.10.2026</t>
  </si>
  <si>
    <t>Access Matrix</t>
  </si>
  <si>
    <t>-</t>
  </si>
  <si>
    <t>ACT-003</t>
  </si>
  <si>
    <t>Enforce MFA for all users</t>
  </si>
  <si>
    <t>25.09.2026</t>
  </si>
  <si>
    <t>MFA Report</t>
  </si>
  <si>
    <t>ACT-004</t>
  </si>
  <si>
    <t>Restrict access to employee information</t>
  </si>
  <si>
    <t>10.10.2026</t>
  </si>
  <si>
    <t>ACT-005</t>
  </si>
  <si>
    <t>Patch vulnerable API components</t>
  </si>
  <si>
    <t>01.10.2026</t>
  </si>
  <si>
    <t>Scan Report</t>
  </si>
  <si>
    <t>Security Assessment Tracker</t>
  </si>
  <si>
    <t>Assessment ID</t>
  </si>
  <si>
    <t>Assessment Type</t>
  </si>
  <si>
    <t>Assessment Date</t>
  </si>
  <si>
    <t>Assessor</t>
  </si>
  <si>
    <t>Findings</t>
  </si>
  <si>
    <t>Critical Findings</t>
  </si>
  <si>
    <t>High Findings</t>
  </si>
  <si>
    <t>Next Review</t>
  </si>
  <si>
    <t>ASMT-001</t>
  </si>
  <si>
    <t>Application Security Assessment</t>
  </si>
  <si>
    <t>15.03.2026</t>
  </si>
  <si>
    <t>Security Team</t>
  </si>
  <si>
    <t>Completed</t>
  </si>
  <si>
    <t>15.09.2026</t>
  </si>
  <si>
    <t>ASMT-002</t>
  </si>
  <si>
    <t>Access Security Assessment</t>
  </si>
  <si>
    <t>18.04.2026</t>
  </si>
  <si>
    <t>18.10.2026</t>
  </si>
  <si>
    <t>ASMT-003</t>
  </si>
  <si>
    <t>Vulnerability Assessment</t>
  </si>
  <si>
    <t>20.05.2026</t>
  </si>
  <si>
    <t>20.09.2026</t>
  </si>
  <si>
    <t>ASMT-004</t>
  </si>
  <si>
    <t>IT/OT Security Assessment</t>
  </si>
  <si>
    <t>22.05.2026</t>
  </si>
  <si>
    <t>22.10.2026</t>
  </si>
  <si>
    <t>ASMT-005</t>
  </si>
  <si>
    <t>Web Security Assessment</t>
  </si>
  <si>
    <t>25.05.2026</t>
  </si>
  <si>
    <t>Planned</t>
  </si>
  <si>
    <t>25.11.2026</t>
  </si>
  <si>
    <t>ISO 27001 Compliance Tracker</t>
  </si>
  <si>
    <t>Control ID</t>
  </si>
  <si>
    <t>Security Area</t>
  </si>
  <si>
    <t>Requirement</t>
  </si>
  <si>
    <t>Evidence Required</t>
  </si>
  <si>
    <t>Gap/Action</t>
  </si>
  <si>
    <t>ISO-001</t>
  </si>
  <si>
    <t>Access Control</t>
  </si>
  <si>
    <t>User access should be appropriately managed</t>
  </si>
  <si>
    <t>Partially Compliant</t>
  </si>
  <si>
    <t>Review privileged accounts</t>
  </si>
  <si>
    <t>ISO-002</t>
  </si>
  <si>
    <t>Strong authentication should be implemented</t>
  </si>
  <si>
    <t>Non-Compliant</t>
  </si>
  <si>
    <t>Implement MFA</t>
  </si>
  <si>
    <t>ISO-003</t>
  </si>
  <si>
    <t>Vulnerabilities should be identified and managed</t>
  </si>
  <si>
    <t>API Gateway</t>
  </si>
  <si>
    <t>Patch open findings</t>
  </si>
  <si>
    <t>ISO-004</t>
  </si>
  <si>
    <t>Backup &amp; Recovery</t>
  </si>
  <si>
    <t>Critical systems should have recovery procedures</t>
  </si>
  <si>
    <t>Recovery Test</t>
  </si>
  <si>
    <t>Perform recovery test</t>
  </si>
  <si>
    <t>ISO-005</t>
  </si>
  <si>
    <t>Sensitive information should have appropriate access controls</t>
  </si>
  <si>
    <t>Data Lake</t>
  </si>
  <si>
    <t>Review permissions</t>
  </si>
  <si>
    <t>ISO-006</t>
  </si>
  <si>
    <t>Logging &amp; Monitoring</t>
  </si>
  <si>
    <t>Security-relevant activities should be monitored</t>
  </si>
  <si>
    <t>Compliant</t>
  </si>
  <si>
    <t>Monitoring Report</t>
  </si>
  <si>
    <t>ISO-007</t>
  </si>
  <si>
    <t>Incident Management</t>
  </si>
  <si>
    <t>Security incidents should be recorded and managed</t>
  </si>
  <si>
    <t>Incident Records</t>
  </si>
  <si>
    <t>ISO-008</t>
  </si>
  <si>
    <t>Security Documentation</t>
  </si>
  <si>
    <t>Security processes should be documented</t>
  </si>
  <si>
    <t>Process Document</t>
  </si>
  <si>
    <t>Update documentation</t>
  </si>
  <si>
    <t>Security KPI Report</t>
  </si>
  <si>
    <t>KPI</t>
  </si>
  <si>
    <t>Value</t>
  </si>
  <si>
    <t>Target</t>
  </si>
  <si>
    <t>Total Applications</t>
  </si>
  <si>
    <t>On Track</t>
  </si>
  <si>
    <t>Total Risks</t>
  </si>
  <si>
    <t>≤20</t>
  </si>
  <si>
    <t>Critical Risks</t>
  </si>
  <si>
    <t>Attention</t>
  </si>
  <si>
    <t>High Risks</t>
  </si>
  <si>
    <t>≤5</t>
  </si>
  <si>
    <t>Open Findings</t>
  </si>
  <si>
    <t>Findings In Progress</t>
  </si>
  <si>
    <t>Remediation Actions Open</t>
  </si>
  <si>
    <t>Compliance Rate</t>
  </si>
  <si>
    <t xml:space="preserve">IT APPLICATION SECURITY GOVERNANCE DASHBOARD </t>
  </si>
  <si>
    <t>Risks</t>
  </si>
  <si>
    <t>RISK DISTRIBUTION</t>
  </si>
  <si>
    <t>Compliance Chart</t>
  </si>
  <si>
    <t>Low</t>
  </si>
  <si>
    <t>Remediation Progress</t>
  </si>
  <si>
    <t>Closed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</si>
</sst>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14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b/>
      <sz val="14"/>
      <name val="Times New Roman"/>
      <charset val="0"/>
    </font>
    <font>
      <sz val="12"/>
      <name val="Times New Roman"/>
      <charset val="0"/>
    </font>
    <font>
      <b/>
      <sz val="14"/>
      <color rgb="FFFFFFFF"/>
      <name val="Times New Roman"/>
      <charset val="0"/>
    </font>
    <font>
      <sz val="11"/>
      <color rgb="FFE7E6E6"/>
      <name val="Calibri"/>
      <charset val="0"/>
    </font>
    <font>
      <b/>
      <sz val="12"/>
      <name val="Times New Roman"/>
      <charset val="0"/>
    </font>
    <font>
      <sz val="14"/>
      <name val="Times New Roman"/>
      <charset val="0"/>
    </font>
    <font>
      <sz val="12"/>
      <name val="Calibri"/>
      <charset val="0"/>
    </font>
    <font>
      <b/>
      <sz val="14"/>
      <name val="Calibri"/>
      <charset val="0"/>
    </font>
    <font>
      <b/>
      <sz val="11"/>
      <name val="Calibri"/>
      <charset val="0"/>
    </font>
  </fonts>
  <fills count="5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  <fill>
      <patternFill patternType="solid">
        <fgColor rgb="FF8080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CCCFF"/>
        <bgColor indexed="64"/>
      </patternFill>
    </fill>
  </fills>
  <borders count="1">
    <border>
      <left/>
      <right/>
      <top/>
      <bottom/>
      <diagonal/>
    </border>
  </borders>
  <cellStyleXfs count="57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0" fontId="0" fillId="0" borderId="0"/>
    <xf numFmtId="0" fontId="0" fillId="0" borderId="0">
      <protection locked="0"/>
    </xf>
    <xf numFmtId="0" fontId="0" fillId="0" borderId="0"/>
    <xf numFmtId="0" fontId="0" fillId="0" borderId="0">
      <protection locked="0"/>
    </xf>
    <xf numFmtId="0" fontId="0" fillId="0" borderId="0"/>
    <xf numFmtId="0" fontId="0" fillId="0" borderId="0">
      <protection locked="0"/>
    </xf>
    <xf numFmtId="0" fontId="0" fillId="0" borderId="0"/>
    <xf numFmtId="0" fontId="0" fillId="0" borderId="0">
      <protection locked="0"/>
    </xf>
    <xf numFmtId="0" fontId="0" fillId="0" borderId="0"/>
    <xf numFmtId="0" fontId="0" fillId="0" borderId="0">
      <protection locked="0"/>
    </xf>
    <xf numFmtId="0" fontId="0" fillId="0" borderId="0"/>
    <xf numFmtId="0" fontId="0" fillId="0" borderId="0">
      <protection locked="0"/>
    </xf>
    <xf numFmtId="0" fontId="0" fillId="0" borderId="0"/>
    <xf numFmtId="0" fontId="0" fillId="0" borderId="0">
      <protection locked="0"/>
    </xf>
    <xf numFmtId="0" fontId="0" fillId="0" borderId="0"/>
    <xf numFmtId="0" fontId="0" fillId="0" borderId="0">
      <protection locked="0"/>
    </xf>
  </cellStyleXfs>
  <cellXfs>
    <xf numFmtId="0" fontId="0" fillId="0" borderId="0" xfId="0"/>
    <xf numFmtId="0" fontId="5" fillId="0" borderId="0" xfId="0" applyAlignment="1" applyFont="1">
      <alignment horizontal="center"/>
    </xf>
    <xf numFmtId="0" fontId="6" fillId="0" borderId="0" xfId="0" applyFont="1"/>
    <xf numFmtId="0" fontId="7" fillId="2" borderId="0" xfId="0" applyAlignment="1" applyFont="1" applyFill="1">
      <alignment horizontal="left" wrapText="1"/>
    </xf>
    <xf numFmtId="0" fontId="6" fillId="3" borderId="0" xfId="0" applyAlignment="1" applyFont="1" applyFill="1">
      <alignment horizontal="left" wrapText="1"/>
    </xf>
    <xf numFmtId="0" fontId="8" fillId="3" borderId="0" xfId="0" applyFont="1" applyFill="1"/>
    <xf numFmtId="0" fontId="9" fillId="0" borderId="0" xfId="0" applyFont="1"/>
    <xf numFmtId="0" fontId="10" fillId="2" borderId="0" xfId="0" applyAlignment="1" applyFont="1" applyFill="1">
      <alignment horizontal="left" wrapText="1"/>
    </xf>
    <xf numFmtId="0" fontId="5" fillId="2" borderId="0" xfId="0" applyAlignment="1" applyFont="1" applyFill="1">
      <alignment horizontal="left" wrapText="1"/>
    </xf>
    <xf numFmtId="0" fontId="6" fillId="0" borderId="0" xfId="0" applyAlignment="1" applyFont="1">
      <alignment horizontal="left" wrapText="1"/>
    </xf>
    <xf numFmtId="0" fontId="11" fillId="0" borderId="0" xfId="0" applyAlignment="1" applyFont="1">
      <alignment horizontal="left"/>
    </xf>
    <xf numFmtId="0" fontId="5" fillId="0" borderId="0" xfId="0" applyAlignment="1" applyFont="1">
      <alignment horizontal="center" wrapText="1"/>
    </xf>
    <xf numFmtId="0" fontId="5" fillId="4" borderId="0" xfId="0" applyAlignment="1" applyFont="1" applyFill="1">
      <alignment horizontal="left" wrapText="1"/>
    </xf>
    <xf numFmtId="0" fontId="11" fillId="0" borderId="0" xfId="0" applyAlignment="1" applyFont="1">
      <alignment horizontal="left" wrapText="1"/>
    </xf>
    <xf numFmtId="0" fontId="12" fillId="0" borderId="0" xfId="0" applyAlignment="1" applyFont="1">
      <alignment horizontal="center"/>
    </xf>
    <xf numFmtId="9" fontId="6" fillId="0" borderId="0" xfId="0" applyAlignment="1" applyFont="1" applyNumberFormat="1">
      <alignment horizontal="left" wrapText="1"/>
    </xf>
    <xf numFmtId="0" fontId="5" fillId="4" borderId="0" xfId="0" applyAlignment="1" applyFont="1" applyFill="1">
      <alignment horizontal="center"/>
    </xf>
    <xf numFmtId="0" fontId="5" fillId="0" borderId="0" xfId="0" applyFont="1"/>
    <xf numFmtId="0" fontId="0" fillId="0" borderId="0" xfId="0" applyAlignment="1">
      <alignment horizontal="left" wrapText="1"/>
    </xf>
    <xf numFmtId="0" fontId="5" fillId="0" borderId="0" xfId="0" applyAlignment="1" applyFont="1">
      <alignment horizontal="left"/>
    </xf>
    <xf numFmtId="0" fontId="5" fillId="0" borderId="0" xfId="0" applyAlignment="1" applyFont="1">
      <alignment horizontal="left" wrapText="1"/>
    </xf>
  </cellXfs>
  <cellStyles count="2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Application InventoryLockedColumnStyle" xfId="20"/>
    <cellStyle name="Application InventoryUnLockedColumnStyle" xfId="21"/>
    <cellStyle name="Risk RegisterLockedColumnStyle" xfId="22"/>
    <cellStyle name="Risk RegisterUnLockedColumnStyle" xfId="23"/>
    <cellStyle name="FindingsLockedColumnStyle" xfId="24"/>
    <cellStyle name="FindingsUnLockedColumnStyle" xfId="25"/>
    <cellStyle name="RemediationLockedColumnStyle" xfId="26"/>
    <cellStyle name="RemediationUnLockedColumnStyle" xfId="27"/>
    <cellStyle name="AssesmentLockedColumnStyle" xfId="28"/>
    <cellStyle name="AssesmentUnLockedColumnStyle" xfId="29"/>
    <cellStyle name="ComplianceLockedColumnStyle" xfId="30"/>
    <cellStyle name="ComplianceUnLockedColumnStyle" xfId="31"/>
    <cellStyle name="KPI ReportLockedColumnStyle" xfId="32"/>
    <cellStyle name="KPI ReportUnLockedColumnStyle" xfId="33"/>
    <cellStyle name="DashboardLockedColumnStyle" xfId="34"/>
    <cellStyle name="DashboardUnLockedColumnStyle" xfId="35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styles" Target="styles.xml" /><Relationship Id="rId10" Type="http://schemas.openxmlformats.org/officeDocument/2006/relationships/sharedStrings" Target="sharedStrings.xml" /></Relationships>
</file>

<file path=xl/charts/chart1.xml><?xml version="1.0" encoding="utf-8"?>
<c:chartSpace xmlns:a="http://schemas.openxmlformats.org/drawingml/2006/main" xmlns:r="http://schemas.openxmlformats.org/officeDocument/2006/relationships" xmlns:c="http://schemas.openxmlformats.org/drawingml/2006/chart">
  <c:roundedCorners val="0"/>
  <c:chart>
    <c:autoTitleDeleted val="1"/>
    <c:plotArea>
      <c:layout/>
      <c:pieChart>
        <c:varyColors val="1"/>
        <c:ser>
          <c:idx val="0"/>
          <c:order val="0"/>
          <c:spPr/>
          <c:explosion val="0"/>
          <c:cat>
            <c:strRef>
              <c:f>'Dashboard'!$B$8:$B$11</c:f>
              <c:strCache>
                <c:ptCount val="4"/>
                <c:pt idx="0">
                  <c:v>Critical</c:v>
                </c:pt>
                <c:pt idx="1">
                  <c:v>High</c:v>
                </c:pt>
                <c:pt idx="2">
                  <c:v>Medium</c:v>
                </c:pt>
                <c:pt idx="3">
                  <c:v>Low</c:v>
                </c:pt>
              </c:strCache>
            </c:strRef>
          </c:cat>
          <c:val>
            <c:numRef>
              <c:f>'Dashboard'!$C$8:$C$11</c:f>
              <c:numCache>
                <c:formatCode>General</c:formatCode>
                <c:ptCount val="4"/>
                <c:pt idx="0">
                  <c:v>2</c:v>
                </c:pt>
                <c:pt idx="1">
                  <c:v>16</c:v>
                </c:pt>
                <c:pt idx="2">
                  <c:v>2</c:v>
                </c:pt>
                <c:pt idx="3">
                  <c:v>0</c:v>
                </c:pt>
              </c:numCache>
            </c:numRef>
          </c:val>
        </c:ser>
        <c:firstSliceAng val="0"/>
      </c:pieChart>
      <c:spPr>
        <a:solidFill>
          <a:srgbClr val="FFFFFF"/>
        </a:solidFill>
        <a:ln>
          <a:noFill/>
          <a:round/>
        </a:ln>
      </c:spPr>
    </c:plotArea>
    <c:legend>
      <c:legendPos val="b"/>
      <c:layout/>
      <c:overlay val="0"/>
      <c:spPr/>
    </c:legend>
    <c:plotVisOnly val="1"/>
    <c:dispBlanksAs val="gap"/>
  </c:chart>
  <c:spPr>
    <a:solidFill>
      <a:srgbClr val="FFFFFF"/>
    </a:solidFill>
  </c:spPr>
  <c:printSettings>
    <c:headerFooter scaleWithDoc="1" alignWithMargins="0" differentFirst="0" differentOddEven="0"/>
    <c:pageMargins l="0.7" r="0.7" t="0.75" b="0.75" header="0.3" footer="0.3"/>
  </c:printSettings>
</c:chartSpace>
</file>

<file path=xl/charts/chart2.xml><?xml version="1.0" encoding="utf-8"?>
<c:chartSpace xmlns:a="http://schemas.openxmlformats.org/drawingml/2006/main" xmlns:r="http://schemas.openxmlformats.org/officeDocument/2006/relationships" xmlns:c="http://schemas.openxmlformats.org/drawingml/2006/chart">
  <c:roundedCorners val="0"/>
  <c:chart>
    <c:autoTitleDeleted val="1"/>
    <c:plotArea>
      <c:layout/>
      <c:doughnutChart>
        <c:varyColors val="1"/>
        <c:ser>
          <c:idx val="0"/>
          <c:order val="0"/>
          <c:spPr/>
          <c:explosion val="0"/>
          <c:cat>
            <c:strRef>
              <c:f>'Dashboard'!$G$8:$G$10</c:f>
              <c:strCache>
                <c:ptCount val="3"/>
                <c:pt idx="0">
                  <c:v>Compliant</c:v>
                </c:pt>
                <c:pt idx="1">
                  <c:v>Partially Compliant</c:v>
                </c:pt>
                <c:pt idx="2">
                  <c:v>Non-Compliant</c:v>
                </c:pt>
              </c:strCache>
            </c:strRef>
          </c:cat>
          <c:val>
            <c:numRef>
              <c:f>'Dashboard'!$H$8:$H$10</c:f>
              <c:numCache>
                <c:formatCode>General</c:formatCode>
                <c:ptCount val="3"/>
                <c:pt idx="0">
                  <c:v>2</c:v>
                </c:pt>
                <c:pt idx="1">
                  <c:v>5</c:v>
                </c:pt>
                <c:pt idx="2">
                  <c:v>1</c:v>
                </c:pt>
              </c:numCache>
            </c:numRef>
          </c:val>
        </c:ser>
        <c:firstSliceAng val="0"/>
        <c:holeSize val="50"/>
      </c:doughnutChart>
      <c:spPr>
        <a:solidFill>
          <a:srgbClr val="FFFFFF"/>
        </a:solidFill>
        <a:ln>
          <a:noFill/>
          <a:round/>
        </a:ln>
      </c:spPr>
    </c:plotArea>
    <c:legend>
      <c:legendPos val="b"/>
      <c:layout/>
      <c:overlay val="0"/>
      <c:spPr/>
    </c:legend>
    <c:plotVisOnly val="1"/>
    <c:dispBlanksAs val="gap"/>
  </c:chart>
  <c:spPr>
    <a:solidFill>
      <a:srgbClr val="FFFFFF"/>
    </a:solidFill>
  </c:spPr>
  <c:printSettings>
    <c:headerFooter scaleWithDoc="1" alignWithMargins="0" differentFirst="0" differentOddEven="0"/>
    <c:pageMargins l="0.7" r="0.7" t="0.75" b="0.75" header="0.3" footer="0.3"/>
  </c:printSettings>
</c:chartSpace>
</file>

<file path=xl/charts/chart3.xml><?xml version="1.0" encoding="utf-8"?>
<c:chartSpace xmlns:a="http://schemas.openxmlformats.org/drawingml/2006/main" xmlns:r="http://schemas.openxmlformats.org/officeDocument/2006/relationships" xmlns:c="http://schemas.openxmlformats.org/drawingml/2006/chart">
  <c:roundedCorners val="0"/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spPr/>
          <c:cat>
            <c:strRef>
              <c:f>'Dashboard'!$B$16:$B$18</c:f>
              <c:strCache>
                <c:ptCount val="3"/>
                <c:pt idx="0">
                  <c:v>Open</c:v>
                </c:pt>
                <c:pt idx="1">
                  <c:v>In Progress</c:v>
                </c:pt>
                <c:pt idx="2">
                  <c:v>Completed</c:v>
                </c:pt>
              </c:strCache>
            </c:strRef>
          </c:cat>
          <c:val>
            <c:numRef>
              <c:f>'Dashboard'!$C$16:$C$18</c:f>
              <c:numCache>
                <c:formatCode>General</c:formatCode>
                <c:ptCount val="3"/>
                <c:pt idx="0">
                  <c:v>3</c:v>
                </c:pt>
                <c:pt idx="1">
                  <c:v>2</c:v>
                </c:pt>
                <c:pt idx="2">
                  <c:v>0</c:v>
                </c:pt>
              </c:numCache>
            </c:numRef>
          </c:val>
        </c:ser>
        <c:gapWidth val="150"/>
        <c:overlap val="100"/>
        <c:axId val="59983360"/>
        <c:axId val="57253888"/>
      </c:barChart>
      <c:catAx>
        <c:axId val="599833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/>
        </c:spPr>
        <c:crossAx val="57253888"/>
        <c:crosses val="autoZero"/>
        <c:auto val="1"/>
        <c:lblAlgn val="ctr"/>
        <c:lblOffset val="100"/>
        <c:noMultiLvlLbl val="0"/>
        <c:tickMarkSkip val="1"/>
      </c:catAx>
      <c:valAx>
        <c:axId val="57253888"/>
        <c:scaling>
          <c:orientation val="minMax"/>
        </c:scaling>
        <c:delete val="0"/>
        <c:axPos val="l"/>
        <c:majorGridlines/>
        <c:majorTickMark val="out"/>
        <c:minorTickMark val="none"/>
        <c:tickLblPos val="low"/>
        <c:spPr>
          <a:ln/>
        </c:spPr>
        <c:crossAx val="59983360"/>
        <c:crosses val="autoZero"/>
        <c:crossBetween val="between"/>
      </c:valAx>
      <c:spPr>
        <a:solidFill>
          <a:srgbClr val="FFFFFF"/>
        </a:solidFill>
        <a:ln>
          <a:noFill/>
          <a:round/>
        </a:ln>
      </c:spPr>
    </c:plotArea>
    <c:legend>
      <c:legendPos val="b"/>
      <c:layout/>
      <c:overlay val="0"/>
      <c:spPr/>
    </c:legend>
    <c:plotVisOnly val="1"/>
    <c:dispBlanksAs val="gap"/>
  </c:chart>
  <c:spPr>
    <a:solidFill>
      <a:srgbClr val="FFFFFF"/>
    </a:solidFill>
  </c:spPr>
  <c:printSettings>
    <c:headerFooter scaleWithDoc="1" alignWithMargins="0" differentFirst="0" differentOddEven="0"/>
    <c:pageMargins l="0.7" r="0.7" t="0.75" b="0.75" header="0.3" footer="0.3"/>
  </c:printSettings>
</c:chartSpace>
</file>

<file path=xl/charts/chart4.xml><?xml version="1.0" encoding="utf-8"?>
<c:chartSpace xmlns:a="http://schemas.openxmlformats.org/drawingml/2006/main" xmlns:r="http://schemas.openxmlformats.org/officeDocument/2006/relationships" xmlns:c="http://schemas.openxmlformats.org/drawingml/2006/chart">
  <c:roundedCorners val="0"/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spPr/>
          <c:cat>
            <c:strRef>
              <c:f>'Dashboard'!$F$16:$F$18</c:f>
              <c:strCache>
                <c:ptCount val="3"/>
                <c:pt idx="0">
                  <c:v>Open</c:v>
                </c:pt>
                <c:pt idx="1">
                  <c:v>In Progress</c:v>
                </c:pt>
                <c:pt idx="2">
                  <c:v>Closed</c:v>
                </c:pt>
              </c:strCache>
            </c:strRef>
          </c:cat>
          <c:val>
            <c:numRef>
              <c:f>'Dashboard'!$G$16:$G$18</c:f>
              <c:numCache>
                <c:formatCode>General</c:formatCode>
                <c:ptCount val="3"/>
                <c:pt idx="0">
                  <c:v>7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gapWidth val="150"/>
        <c:overlap val="100"/>
        <c:axId val="59983360"/>
        <c:axId val="57253888"/>
      </c:barChart>
      <c:catAx>
        <c:axId val="599833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/>
        </c:spPr>
        <c:crossAx val="57253888"/>
        <c:crosses val="autoZero"/>
        <c:auto val="1"/>
        <c:lblAlgn val="ctr"/>
        <c:lblOffset val="100"/>
        <c:noMultiLvlLbl val="0"/>
        <c:tickMarkSkip val="1"/>
      </c:catAx>
      <c:valAx>
        <c:axId val="57253888"/>
        <c:scaling>
          <c:orientation val="minMax"/>
        </c:scaling>
        <c:delete val="0"/>
        <c:axPos val="l"/>
        <c:majorGridlines/>
        <c:majorTickMark val="out"/>
        <c:minorTickMark val="none"/>
        <c:tickLblPos val="low"/>
        <c:spPr>
          <a:ln/>
        </c:spPr>
        <c:crossAx val="59983360"/>
        <c:crosses val="autoZero"/>
        <c:crossBetween val="between"/>
      </c:valAx>
      <c:spPr>
        <a:solidFill>
          <a:srgbClr val="FFFFFF"/>
        </a:solidFill>
        <a:ln>
          <a:noFill/>
          <a:round/>
        </a:ln>
      </c:spPr>
    </c:plotArea>
    <c:legend>
      <c:legendPos val="b"/>
      <c:layout/>
      <c:overlay val="0"/>
      <c:spPr/>
    </c:legend>
    <c:plotVisOnly val="1"/>
    <c:dispBlanksAs val="gap"/>
  </c:chart>
  <c:spPr>
    <a:solidFill>
      <a:srgbClr val="FFFFFF"/>
    </a:solidFill>
  </c:spPr>
  <c:printSettings>
    <c:headerFooter scaleWithDoc="1" alignWithMargins="0" differentFirst="0" differentOddEven="0"/>
    <c:pageMargins l="0.7" r="0.7" t="0.75" b="0.75" header="0.3" footer="0.3"/>
  </c:printSettings>
</c:chartSpace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chart" Target="/xl/charts/chart1.xml" /><Relationship Id="rId2" Type="http://schemas.openxmlformats.org/officeDocument/2006/relationships/chart" Target="/xl/charts/chart2.xml" /><Relationship Id="rId3" Type="http://schemas.openxmlformats.org/officeDocument/2006/relationships/chart" Target="/xl/charts/chart3.xml" /><Relationship Id="rId4" Type="http://schemas.openxmlformats.org/officeDocument/2006/relationships/chart" Target="/xl/charts/chart4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twoCell">
    <xdr:from>
      <xdr:col>0</xdr:col>
      <xdr:colOff>228023</xdr:colOff>
      <xdr:row>6</xdr:row>
      <xdr:rowOff>95250</xdr:rowOff>
    </xdr:from>
    <xdr:to>
      <xdr:col>4</xdr:col>
      <xdr:colOff>618958</xdr:colOff>
      <xdr:row>12</xdr:row>
      <xdr:rowOff>151447</xdr:rowOff>
    </xdr:to>
    <xdr:graphicFrame macro="">
      <xdr:nvGraphicFramePr>
        <xdr:cNvPr id="1029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p7="http://schemas.openxmlformats.org/officeDocument/2006/relationships" xmlns:c="http://schemas.openxmlformats.org/drawingml/2006/chart" p7:id="rId1"/>
        </a:graphicData>
      </a:graphic>
    </xdr:graphicFrame>
    <xdr:clientData/>
  </xdr:twoCellAnchor>
  <xdr:twoCellAnchor editAs="twoCell">
    <xdr:from>
      <xdr:col>5</xdr:col>
      <xdr:colOff>133350</xdr:colOff>
      <xdr:row>6</xdr:row>
      <xdr:rowOff>66675</xdr:rowOff>
    </xdr:from>
    <xdr:to>
      <xdr:col>11</xdr:col>
      <xdr:colOff>276225</xdr:colOff>
      <xdr:row>12</xdr:row>
      <xdr:rowOff>75247</xdr:rowOff>
    </xdr:to>
    <xdr:graphicFrame macro="">
      <xdr:nvGraphicFramePr>
        <xdr:cNvPr id="1030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p7="http://schemas.openxmlformats.org/officeDocument/2006/relationships" xmlns:c="http://schemas.openxmlformats.org/drawingml/2006/chart" p7:id="rId2"/>
        </a:graphicData>
      </a:graphic>
    </xdr:graphicFrame>
    <xdr:clientData/>
  </xdr:twoCellAnchor>
  <xdr:twoCellAnchor editAs="twoCell">
    <xdr:from>
      <xdr:col>0</xdr:col>
      <xdr:colOff>799998</xdr:colOff>
      <xdr:row>14</xdr:row>
      <xdr:rowOff>95250</xdr:rowOff>
    </xdr:from>
    <xdr:to>
      <xdr:col>3</xdr:col>
      <xdr:colOff>523726</xdr:colOff>
      <xdr:row>24</xdr:row>
      <xdr:rowOff>95250</xdr:rowOff>
    </xdr:to>
    <xdr:graphicFrame macro="">
      <xdr:nvGraphicFramePr>
        <xdr:cNvPr id="1031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p7="http://schemas.openxmlformats.org/officeDocument/2006/relationships" xmlns:c="http://schemas.openxmlformats.org/drawingml/2006/chart" p7:id="rId3"/>
        </a:graphicData>
      </a:graphic>
    </xdr:graphicFrame>
    <xdr:clientData/>
  </xdr:twoCellAnchor>
  <xdr:twoCellAnchor editAs="twoCell">
    <xdr:from>
      <xdr:col>4</xdr:col>
      <xdr:colOff>914307</xdr:colOff>
      <xdr:row>14</xdr:row>
      <xdr:rowOff>133350</xdr:rowOff>
    </xdr:from>
    <xdr:to>
      <xdr:col>9</xdr:col>
      <xdr:colOff>47625</xdr:colOff>
      <xdr:row>24</xdr:row>
      <xdr:rowOff>56197</xdr:rowOff>
    </xdr:to>
    <xdr:graphicFrame macro="">
      <xdr:nvGraphicFramePr>
        <xdr:cNvPr id="1032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p7="http://schemas.openxmlformats.org/officeDocument/2006/relationships" xmlns:c="http://schemas.openxmlformats.org/drawingml/2006/chart" p7:id="rId4"/>
        </a:graphicData>
      </a:graphic>
    </xdr:graphicFrame>
    <xdr:clientData/>
  </xdr:twoCellAnchor>
</xdr:wsDr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/xl/drawings/drawing1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K22"/>
  <sheetViews>
    <sheetView topLeftCell="A1" view="normal" workbookViewId="0">
      <selection pane="topLeft" activeCell="M13" sqref="M13"/>
    </sheetView>
  </sheetViews>
  <sheetFormatPr customHeight="true" defaultRowHeight="15"/>
  <cols>
    <col min="1" max="1" width="18.7109375" customWidth="1"/>
    <col min="2" max="2" width="20.140625" customWidth="1"/>
    <col min="3" max="3" width="19" customWidth="1"/>
    <col min="4" max="4" width="18.84765625" customWidth="1"/>
    <col min="5" max="5" width="17.27734375" customWidth="1"/>
    <col min="6" max="6" width="12.41796875" customWidth="1"/>
    <col min="7" max="7" width="18.7109375" customWidth="1"/>
    <col min="8" max="8" width="21" customWidth="1"/>
  </cols>
  <sheetData>
    <row r="1" spans="1:9" ht="18.75" customHeight="1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ht="15.75" customHeight="1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ht="36" customHeight="1">
      <c r="A3" s="3" t="s">
        <v>2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</row>
    <row r="4" spans="1:11" ht="15.75" customHeight="1">
      <c r="A4" s="4" t="s">
        <v>10</v>
      </c>
      <c r="B4" s="4" t="s">
        <v>11</v>
      </c>
      <c r="C4" s="4" t="s">
        <v>12</v>
      </c>
      <c r="D4" s="4" t="s">
        <v>13</v>
      </c>
      <c r="E4" s="4" t="s">
        <v>14</v>
      </c>
      <c r="F4" s="4" t="s">
        <v>15</v>
      </c>
      <c r="G4" s="4" t="s">
        <v>16</v>
      </c>
      <c r="H4" s="4" t="s">
        <v>17</v>
      </c>
      <c r="I4" s="4" t="s">
        <v>18</v>
      </c>
      <c r="K4" s="5"/>
    </row>
    <row r="5" spans="1:9" ht="15.75" customHeight="1">
      <c r="A5" s="4" t="s">
        <v>19</v>
      </c>
      <c r="B5" s="4" t="s">
        <v>20</v>
      </c>
      <c r="C5" s="4" t="s">
        <v>12</v>
      </c>
      <c r="D5" s="4" t="s">
        <v>21</v>
      </c>
      <c r="E5" s="4" t="s">
        <v>22</v>
      </c>
      <c r="F5" s="4" t="s">
        <v>15</v>
      </c>
      <c r="G5" s="4" t="s">
        <v>23</v>
      </c>
      <c r="H5" s="4" t="s">
        <v>24</v>
      </c>
      <c r="I5" s="4" t="s">
        <v>18</v>
      </c>
    </row>
    <row r="6" spans="1:9" ht="30.75" customHeight="1">
      <c r="A6" s="4" t="s">
        <v>25</v>
      </c>
      <c r="B6" s="4" t="s">
        <v>26</v>
      </c>
      <c r="C6" s="4" t="s">
        <v>27</v>
      </c>
      <c r="D6" s="4" t="s">
        <v>28</v>
      </c>
      <c r="E6" s="4" t="s">
        <v>14</v>
      </c>
      <c r="F6" s="4" t="s">
        <v>15</v>
      </c>
      <c r="G6" s="4" t="s">
        <v>29</v>
      </c>
      <c r="H6" s="4" t="s">
        <v>30</v>
      </c>
      <c r="I6" s="4" t="s">
        <v>18</v>
      </c>
    </row>
    <row r="7" spans="1:9" ht="30.75" customHeight="1">
      <c r="A7" s="4" t="s">
        <v>31</v>
      </c>
      <c r="B7" s="4" t="s">
        <v>32</v>
      </c>
      <c r="C7" s="4" t="s">
        <v>12</v>
      </c>
      <c r="D7" s="4" t="s">
        <v>33</v>
      </c>
      <c r="E7" s="4" t="s">
        <v>14</v>
      </c>
      <c r="F7" s="4" t="s">
        <v>34</v>
      </c>
      <c r="G7" s="4" t="s">
        <v>35</v>
      </c>
      <c r="H7" s="4" t="s">
        <v>36</v>
      </c>
      <c r="I7" s="4" t="s">
        <v>18</v>
      </c>
    </row>
    <row r="8" spans="1:9" ht="15.75" customHeight="1">
      <c r="A8" s="4" t="s">
        <v>37</v>
      </c>
      <c r="B8" s="4" t="s">
        <v>38</v>
      </c>
      <c r="C8" s="4" t="s">
        <v>12</v>
      </c>
      <c r="D8" s="4" t="s">
        <v>39</v>
      </c>
      <c r="E8" s="4" t="s">
        <v>22</v>
      </c>
      <c r="F8" s="4" t="s">
        <v>15</v>
      </c>
      <c r="G8" s="4" t="s">
        <v>40</v>
      </c>
      <c r="H8" s="4" t="s">
        <v>41</v>
      </c>
      <c r="I8" s="4" t="s">
        <v>18</v>
      </c>
    </row>
    <row r="9" spans="1:9" ht="15.75" customHeight="1">
      <c r="A9" s="4" t="s">
        <v>42</v>
      </c>
      <c r="B9" s="4" t="s">
        <v>43</v>
      </c>
      <c r="C9" s="4" t="s">
        <v>27</v>
      </c>
      <c r="D9" s="4" t="s">
        <v>44</v>
      </c>
      <c r="E9" s="4" t="s">
        <v>22</v>
      </c>
      <c r="F9" s="4" t="s">
        <v>15</v>
      </c>
      <c r="G9" s="4" t="s">
        <v>45</v>
      </c>
      <c r="H9" s="4" t="s">
        <v>46</v>
      </c>
      <c r="I9" s="4" t="s">
        <v>18</v>
      </c>
    </row>
    <row r="10" spans="1:9" ht="15.75" customHeight="1">
      <c r="A10" s="4" t="s">
        <v>47</v>
      </c>
      <c r="B10" s="4" t="s">
        <v>48</v>
      </c>
      <c r="C10" s="4" t="s">
        <v>27</v>
      </c>
      <c r="D10" s="4" t="s">
        <v>49</v>
      </c>
      <c r="E10" s="4" t="s">
        <v>14</v>
      </c>
      <c r="F10" s="4" t="s">
        <v>50</v>
      </c>
      <c r="G10" s="4" t="s">
        <v>51</v>
      </c>
      <c r="H10" s="4" t="s">
        <v>52</v>
      </c>
      <c r="I10" s="4" t="s">
        <v>18</v>
      </c>
    </row>
    <row r="11" spans="1:9" ht="15.75" customHeight="1">
      <c r="A11" s="4" t="s">
        <v>53</v>
      </c>
      <c r="B11" s="4" t="s">
        <v>54</v>
      </c>
      <c r="C11" s="4" t="s">
        <v>12</v>
      </c>
      <c r="D11" s="4" t="s">
        <v>55</v>
      </c>
      <c r="E11" s="4" t="s">
        <v>22</v>
      </c>
      <c r="F11" s="4" t="s">
        <v>15</v>
      </c>
      <c r="G11" s="4" t="s">
        <v>56</v>
      </c>
      <c r="H11" s="4" t="s">
        <v>57</v>
      </c>
      <c r="I11" s="4" t="s">
        <v>18</v>
      </c>
    </row>
    <row r="12" spans="1:9" ht="30.75" customHeight="1">
      <c r="A12" s="4" t="s">
        <v>58</v>
      </c>
      <c r="B12" s="4" t="s">
        <v>59</v>
      </c>
      <c r="C12" s="4" t="s">
        <v>12</v>
      </c>
      <c r="D12" s="4" t="s">
        <v>60</v>
      </c>
      <c r="E12" s="4" t="s">
        <v>61</v>
      </c>
      <c r="F12" s="4" t="s">
        <v>15</v>
      </c>
      <c r="G12" s="4" t="s">
        <v>62</v>
      </c>
      <c r="H12" s="4" t="s">
        <v>63</v>
      </c>
      <c r="I12" s="4" t="s">
        <v>18</v>
      </c>
    </row>
    <row r="13" spans="1:9" ht="30.75" customHeight="1">
      <c r="A13" s="4" t="s">
        <v>64</v>
      </c>
      <c r="B13" s="4" t="s">
        <v>65</v>
      </c>
      <c r="C13" s="4" t="s">
        <v>27</v>
      </c>
      <c r="D13" s="4" t="s">
        <v>66</v>
      </c>
      <c r="E13" s="4" t="s">
        <v>22</v>
      </c>
      <c r="F13" s="4" t="s">
        <v>50</v>
      </c>
      <c r="G13" s="4" t="s">
        <v>67</v>
      </c>
      <c r="H13" s="4" t="s">
        <v>68</v>
      </c>
      <c r="I13" s="4" t="s">
        <v>18</v>
      </c>
    </row>
    <row r="14" customHeight="1"/>
    <row r="15" customHeight="1"/>
    <row r="16" customHeight="1"/>
    <row r="17" customHeight="1"/>
    <row r="18" customHeight="1"/>
    <row r="19" customHeight="1"/>
    <row r="20" customHeight="1"/>
    <row r="21" customHeight="1"/>
    <row r="22" customHeight="1"/>
  </sheetData>
  <mergeCells count="2">
    <mergeCell ref="A1:I1"/>
    <mergeCell ref="A2:I2"/>
  </mergeCells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L23"/>
  <sheetViews>
    <sheetView topLeftCell="A3" view="normal" workbookViewId="0">
      <selection pane="topLeft" activeCell="H32" sqref="H32"/>
    </sheetView>
  </sheetViews>
  <sheetFormatPr customHeight="true" defaultRowHeight="15"/>
  <cols>
    <col min="1" max="1" width="11.27734375" customWidth="1"/>
    <col min="2" max="2" width="18.27734375" customWidth="1"/>
    <col min="3" max="3" width="17.7109375" customWidth="1"/>
    <col min="4" max="4" width="19.7109375" customWidth="1"/>
    <col min="5" max="5" width="22.7109375" customWidth="1"/>
    <col min="6" max="6" width="13.84765625" customWidth="1"/>
    <col min="8" max="8" width="14" customWidth="1"/>
    <col min="9" max="9" width="15" customWidth="1"/>
    <col min="10" max="10" width="14.41796875" customWidth="1"/>
    <col min="11" max="11" width="29" customWidth="1"/>
    <col min="12" max="12" width="15.7109375" customWidth="1"/>
  </cols>
  <sheetData>
    <row r="1" spans="1:12" ht="18.75" customHeight="1">
      <c r="A1" s="1" t="s">
        <v>69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15.75" customHeight="1">
      <c r="A2" s="6" t="s">
        <v>70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</row>
    <row r="3" spans="1:12" ht="36" customHeight="1">
      <c r="A3" s="7" t="s">
        <v>71</v>
      </c>
      <c r="B3" s="8" t="s">
        <v>2</v>
      </c>
      <c r="C3" s="8" t="s">
        <v>2</v>
      </c>
      <c r="D3" s="8" t="s">
        <v>72</v>
      </c>
      <c r="E3" s="8" t="s">
        <v>73</v>
      </c>
      <c r="F3" s="8" t="s">
        <v>74</v>
      </c>
      <c r="G3" s="8" t="s">
        <v>75</v>
      </c>
      <c r="H3" s="8" t="s">
        <v>76</v>
      </c>
      <c r="I3" s="8" t="s">
        <v>77</v>
      </c>
      <c r="J3" s="8" t="s">
        <v>78</v>
      </c>
      <c r="K3" s="8" t="s">
        <v>79</v>
      </c>
      <c r="L3" s="8" t="s">
        <v>9</v>
      </c>
    </row>
    <row r="4" spans="1:12" ht="60.75" customHeight="1">
      <c r="A4" s="9" t="s">
        <v>80</v>
      </c>
      <c r="B4" s="9" t="s">
        <v>81</v>
      </c>
      <c r="C4" s="9" t="s">
        <v>11</v>
      </c>
      <c r="D4" s="9" t="s">
        <v>82</v>
      </c>
      <c r="E4" s="9" t="s">
        <v>83</v>
      </c>
      <c r="F4" s="9">
        <v>3</v>
      </c>
      <c r="G4" s="9">
        <v>5</v>
      </c>
      <c r="H4" s="9">
        <f ca="1">F4*G4</f>
        <v>0</v>
      </c>
      <c r="I4" s="10">
        <f ca="1">IF(H4&gt;=17,"Critical",IF(H4&gt;=10,"High",IF(H4&gt;=5,"Medium","Low")))</f>
        <v>0</v>
      </c>
      <c r="J4" s="9" t="s">
        <v>17</v>
      </c>
      <c r="K4" s="9" t="s">
        <v>84</v>
      </c>
      <c r="L4" s="9" t="s">
        <v>85</v>
      </c>
    </row>
    <row r="5" spans="1:12" ht="60.75" customHeight="1">
      <c r="A5" s="9" t="s">
        <v>81</v>
      </c>
      <c r="B5" s="9" t="s">
        <v>10</v>
      </c>
      <c r="C5" s="9" t="s">
        <v>11</v>
      </c>
      <c r="D5" s="9" t="s">
        <v>86</v>
      </c>
      <c r="E5" s="9" t="s">
        <v>87</v>
      </c>
      <c r="F5" s="9">
        <v>3</v>
      </c>
      <c r="G5" s="9">
        <v>5</v>
      </c>
      <c r="H5" s="9">
        <f ca="1">F5*G5</f>
        <v>0</v>
      </c>
      <c r="I5" s="10">
        <f ca="1">IF(H5&gt;=17,"Critical",IF(H5&gt;=10,"High",IF(H5&gt;=5,"Medium","Low")))</f>
        <v>0</v>
      </c>
      <c r="J5" s="9" t="s">
        <v>17</v>
      </c>
      <c r="K5" s="9" t="s">
        <v>88</v>
      </c>
      <c r="L5" s="9" t="s">
        <v>89</v>
      </c>
    </row>
    <row r="6" spans="1:12" ht="60.75" customHeight="1">
      <c r="A6" s="9" t="s">
        <v>90</v>
      </c>
      <c r="B6" s="9" t="s">
        <v>19</v>
      </c>
      <c r="C6" s="9" t="s">
        <v>20</v>
      </c>
      <c r="D6" s="9" t="s">
        <v>82</v>
      </c>
      <c r="E6" s="9" t="s">
        <v>91</v>
      </c>
      <c r="F6" s="9">
        <v>4</v>
      </c>
      <c r="G6" s="9">
        <v>5</v>
      </c>
      <c r="H6" s="9">
        <f ca="1">F6*G6</f>
        <v>0</v>
      </c>
      <c r="I6" s="10">
        <f ca="1">IF(H6&gt;=17,"Critical",IF(H6&gt;=10,"High",IF(H6&gt;=5,"Medium","Low")))</f>
        <v>0</v>
      </c>
      <c r="J6" s="9" t="s">
        <v>24</v>
      </c>
      <c r="K6" s="9" t="s">
        <v>92</v>
      </c>
      <c r="L6" s="9" t="s">
        <v>85</v>
      </c>
    </row>
    <row r="7" spans="1:12" ht="60.75" customHeight="1">
      <c r="A7" s="9" t="s">
        <v>93</v>
      </c>
      <c r="B7" s="9" t="s">
        <v>19</v>
      </c>
      <c r="C7" s="9" t="s">
        <v>20</v>
      </c>
      <c r="D7" s="9" t="s">
        <v>86</v>
      </c>
      <c r="E7" s="9" t="s">
        <v>94</v>
      </c>
      <c r="F7" s="9">
        <v>3</v>
      </c>
      <c r="G7" s="9">
        <v>5</v>
      </c>
      <c r="H7" s="9">
        <f ca="1">F7*G7</f>
        <v>0</v>
      </c>
      <c r="I7" s="10">
        <f ca="1">IF(H7&gt;=17,"Critical",IF(H7&gt;=10,"High",IF(H7&gt;=5,"Medium","Low")))</f>
        <v>0</v>
      </c>
      <c r="J7" s="9" t="s">
        <v>24</v>
      </c>
      <c r="K7" s="9" t="s">
        <v>95</v>
      </c>
      <c r="L7" s="9" t="s">
        <v>89</v>
      </c>
    </row>
    <row r="8" spans="1:12" ht="60.75" customHeight="1">
      <c r="A8" s="9" t="s">
        <v>96</v>
      </c>
      <c r="B8" s="9" t="s">
        <v>25</v>
      </c>
      <c r="C8" s="9" t="s">
        <v>26</v>
      </c>
      <c r="D8" s="9" t="s">
        <v>97</v>
      </c>
      <c r="E8" s="9" t="s">
        <v>98</v>
      </c>
      <c r="F8" s="9">
        <v>3</v>
      </c>
      <c r="G8" s="9">
        <v>5</v>
      </c>
      <c r="H8" s="9">
        <f ca="1">F8*G8</f>
        <v>0</v>
      </c>
      <c r="I8" s="10">
        <f ca="1">IF(H8&gt;=17,"Critical",IF(H8&gt;=10,"High",IF(H8&gt;=5,"Medium","Low")))</f>
        <v>0</v>
      </c>
      <c r="J8" s="9" t="s">
        <v>30</v>
      </c>
      <c r="K8" s="9" t="s">
        <v>99</v>
      </c>
      <c r="L8" s="9" t="s">
        <v>89</v>
      </c>
    </row>
    <row r="9" spans="1:12" ht="60.75" customHeight="1">
      <c r="A9" s="9" t="s">
        <v>100</v>
      </c>
      <c r="B9" s="9" t="s">
        <v>25</v>
      </c>
      <c r="C9" s="9" t="s">
        <v>26</v>
      </c>
      <c r="D9" s="9" t="s">
        <v>82</v>
      </c>
      <c r="E9" s="9" t="s">
        <v>101</v>
      </c>
      <c r="F9" s="9">
        <v>3</v>
      </c>
      <c r="G9" s="9">
        <v>5</v>
      </c>
      <c r="H9" s="9">
        <f ca="1">F9*G9</f>
        <v>0</v>
      </c>
      <c r="I9" s="10">
        <f ca="1">IF(H9&gt;=17,"Critical",IF(H9&gt;=10,"High",IF(H9&gt;=5,"Medium","Low")))</f>
        <v>0</v>
      </c>
      <c r="J9" s="9" t="s">
        <v>30</v>
      </c>
      <c r="K9" s="9" t="s">
        <v>102</v>
      </c>
      <c r="L9" s="9" t="s">
        <v>85</v>
      </c>
    </row>
    <row r="10" spans="1:12" ht="45.75" customHeight="1">
      <c r="A10" s="9" t="s">
        <v>103</v>
      </c>
      <c r="B10" s="9" t="s">
        <v>31</v>
      </c>
      <c r="C10" s="9" t="s">
        <v>32</v>
      </c>
      <c r="D10" s="9" t="s">
        <v>104</v>
      </c>
      <c r="E10" s="9" t="s">
        <v>105</v>
      </c>
      <c r="F10" s="9">
        <v>3</v>
      </c>
      <c r="G10" s="9">
        <v>5</v>
      </c>
      <c r="H10" s="9">
        <f ca="1">F10*G10</f>
        <v>0</v>
      </c>
      <c r="I10" s="10">
        <f ca="1">IF(H10&gt;=17,"Critical",IF(H10&gt;=10,"High",IF(H10&gt;=5,"Medium","Low")))</f>
        <v>0</v>
      </c>
      <c r="J10" s="9" t="s">
        <v>36</v>
      </c>
      <c r="K10" s="9" t="s">
        <v>106</v>
      </c>
      <c r="L10" s="9" t="s">
        <v>89</v>
      </c>
    </row>
    <row r="11" spans="1:12" ht="60.75" customHeight="1">
      <c r="A11" s="9" t="s">
        <v>107</v>
      </c>
      <c r="B11" s="9" t="s">
        <v>31</v>
      </c>
      <c r="C11" s="9" t="s">
        <v>32</v>
      </c>
      <c r="D11" s="9" t="s">
        <v>97</v>
      </c>
      <c r="E11" s="9" t="s">
        <v>108</v>
      </c>
      <c r="F11" s="9">
        <v>3</v>
      </c>
      <c r="G11" s="9">
        <v>5</v>
      </c>
      <c r="H11" s="9">
        <f ca="1">F11*G11</f>
        <v>0</v>
      </c>
      <c r="I11" s="10">
        <f ca="1">IF(H11&gt;=17,"Critical",IF(H11&gt;=10,"High",IF(H11&gt;=5,"Medium","Low")))</f>
        <v>0</v>
      </c>
      <c r="J11" s="9" t="s">
        <v>36</v>
      </c>
      <c r="K11" s="9" t="s">
        <v>109</v>
      </c>
      <c r="L11" s="9" t="s">
        <v>85</v>
      </c>
    </row>
    <row r="12" spans="1:12" ht="60.75" customHeight="1">
      <c r="A12" s="9" t="s">
        <v>110</v>
      </c>
      <c r="B12" s="9" t="s">
        <v>37</v>
      </c>
      <c r="C12" s="9" t="s">
        <v>38</v>
      </c>
      <c r="D12" s="9" t="s">
        <v>82</v>
      </c>
      <c r="E12" s="9" t="s">
        <v>111</v>
      </c>
      <c r="F12" s="9">
        <v>3</v>
      </c>
      <c r="G12" s="9">
        <v>4</v>
      </c>
      <c r="H12" s="9">
        <f ca="1">F12*G12</f>
        <v>0</v>
      </c>
      <c r="I12" s="10">
        <f ca="1">IF(H12&gt;=17,"Critical",IF(H12&gt;=10,"High",IF(H12&gt;=5,"Medium","Low")))</f>
        <v>0</v>
      </c>
      <c r="J12" s="9" t="s">
        <v>41</v>
      </c>
      <c r="K12" s="9" t="s">
        <v>112</v>
      </c>
      <c r="L12" s="9" t="s">
        <v>89</v>
      </c>
    </row>
    <row r="13" spans="1:12" ht="60.75" customHeight="1">
      <c r="A13" s="9" t="s">
        <v>113</v>
      </c>
      <c r="B13" s="9" t="s">
        <v>37</v>
      </c>
      <c r="C13" s="9" t="s">
        <v>38</v>
      </c>
      <c r="D13" s="9" t="s">
        <v>97</v>
      </c>
      <c r="E13" s="9" t="s">
        <v>114</v>
      </c>
      <c r="F13" s="9">
        <v>3</v>
      </c>
      <c r="G13" s="9">
        <v>4</v>
      </c>
      <c r="H13" s="9">
        <f ca="1">F13*G13</f>
        <v>0</v>
      </c>
      <c r="I13" s="10">
        <f ca="1">IF(H13&gt;=17,"Critical",IF(H13&gt;=10,"High",IF(H13&gt;=5,"Medium","Low")))</f>
        <v>0</v>
      </c>
      <c r="J13" s="9" t="s">
        <v>41</v>
      </c>
      <c r="K13" s="9" t="s">
        <v>115</v>
      </c>
      <c r="L13" s="9" t="s">
        <v>89</v>
      </c>
    </row>
    <row r="14" spans="1:12" ht="45.75" customHeight="1">
      <c r="A14" s="9" t="s">
        <v>116</v>
      </c>
      <c r="B14" s="9" t="s">
        <v>42</v>
      </c>
      <c r="C14" s="9" t="s">
        <v>43</v>
      </c>
      <c r="D14" s="9" t="s">
        <v>86</v>
      </c>
      <c r="E14" s="9" t="s">
        <v>117</v>
      </c>
      <c r="F14" s="9">
        <v>3</v>
      </c>
      <c r="G14" s="9">
        <v>5</v>
      </c>
      <c r="H14" s="9">
        <f ca="1">F14*G14</f>
        <v>0</v>
      </c>
      <c r="I14" s="10">
        <f ca="1">IF(H14&gt;=17,"Critical",IF(H14&gt;=10,"High",IF(H14&gt;=5,"Medium","Low")))</f>
        <v>0</v>
      </c>
      <c r="J14" s="9" t="s">
        <v>46</v>
      </c>
      <c r="K14" s="9" t="s">
        <v>118</v>
      </c>
      <c r="L14" s="9" t="s">
        <v>85</v>
      </c>
    </row>
    <row r="15" spans="1:12" ht="60.75" customHeight="1">
      <c r="A15" s="9" t="s">
        <v>119</v>
      </c>
      <c r="B15" s="9" t="s">
        <v>42</v>
      </c>
      <c r="C15" s="9" t="s">
        <v>43</v>
      </c>
      <c r="D15" s="9" t="s">
        <v>120</v>
      </c>
      <c r="E15" s="9" t="s">
        <v>121</v>
      </c>
      <c r="F15" s="9">
        <v>3</v>
      </c>
      <c r="G15" s="9">
        <v>5</v>
      </c>
      <c r="H15" s="9">
        <f ca="1">F15*G15</f>
        <v>0</v>
      </c>
      <c r="I15" s="10">
        <f ca="1">IF(H15&gt;=17,"Critical",IF(H15&gt;=10,"High",IF(H15&gt;=5,"Medium","Low")))</f>
        <v>0</v>
      </c>
      <c r="J15" s="9" t="s">
        <v>46</v>
      </c>
      <c r="K15" s="9" t="s">
        <v>122</v>
      </c>
      <c r="L15" s="9" t="s">
        <v>89</v>
      </c>
    </row>
    <row r="16" spans="1:12" ht="60.75" customHeight="1">
      <c r="A16" s="9" t="s">
        <v>123</v>
      </c>
      <c r="B16" s="9" t="s">
        <v>47</v>
      </c>
      <c r="C16" s="9" t="s">
        <v>48</v>
      </c>
      <c r="D16" s="9" t="s">
        <v>82</v>
      </c>
      <c r="E16" s="9" t="s">
        <v>124</v>
      </c>
      <c r="F16" s="9">
        <v>4</v>
      </c>
      <c r="G16" s="9">
        <v>5</v>
      </c>
      <c r="H16" s="9">
        <f ca="1">F16*G16</f>
        <v>0</v>
      </c>
      <c r="I16" s="10">
        <f ca="1">IF(H16&gt;=17,"Critical",IF(H16&gt;=10,"High",IF(H16&gt;=5,"Medium","Low")))</f>
        <v>0</v>
      </c>
      <c r="J16" s="9" t="s">
        <v>52</v>
      </c>
      <c r="K16" s="9" t="s">
        <v>125</v>
      </c>
      <c r="L16" s="9" t="s">
        <v>85</v>
      </c>
    </row>
    <row r="17" spans="1:12" ht="60.75" customHeight="1">
      <c r="A17" s="9" t="s">
        <v>126</v>
      </c>
      <c r="B17" s="9" t="s">
        <v>47</v>
      </c>
      <c r="C17" s="9" t="s">
        <v>48</v>
      </c>
      <c r="D17" s="9" t="s">
        <v>104</v>
      </c>
      <c r="E17" s="9" t="s">
        <v>127</v>
      </c>
      <c r="F17" s="9">
        <v>3</v>
      </c>
      <c r="G17" s="9">
        <v>5</v>
      </c>
      <c r="H17" s="9">
        <f ca="1">F17*G17</f>
        <v>0</v>
      </c>
      <c r="I17" s="10">
        <f ca="1">IF(H17&gt;=17,"Critical",IF(H17&gt;=10,"High",IF(H17&gt;=5,"Medium","Low")))</f>
        <v>0</v>
      </c>
      <c r="J17" s="9" t="s">
        <v>52</v>
      </c>
      <c r="K17" s="9" t="s">
        <v>128</v>
      </c>
      <c r="L17" s="9" t="s">
        <v>89</v>
      </c>
    </row>
    <row r="18" spans="1:12" ht="75.75" customHeight="1">
      <c r="A18" s="9" t="s">
        <v>129</v>
      </c>
      <c r="B18" s="9" t="s">
        <v>53</v>
      </c>
      <c r="C18" s="9" t="s">
        <v>54</v>
      </c>
      <c r="D18" s="9" t="s">
        <v>82</v>
      </c>
      <c r="E18" s="9" t="s">
        <v>130</v>
      </c>
      <c r="F18" s="9">
        <v>3</v>
      </c>
      <c r="G18" s="9">
        <v>4</v>
      </c>
      <c r="H18" s="9">
        <f ca="1">F18*G18</f>
        <v>0</v>
      </c>
      <c r="I18" s="10">
        <f ca="1">IF(H18&gt;=17,"Critical",IF(H18&gt;=10,"High",IF(H18&gt;=5,"Medium","Low")))</f>
        <v>0</v>
      </c>
      <c r="J18" s="9" t="s">
        <v>57</v>
      </c>
      <c r="K18" s="9" t="s">
        <v>131</v>
      </c>
      <c r="L18" s="9" t="s">
        <v>89</v>
      </c>
    </row>
    <row r="19" spans="1:12" ht="60.75" customHeight="1">
      <c r="A19" s="9" t="s">
        <v>132</v>
      </c>
      <c r="B19" s="9" t="s">
        <v>53</v>
      </c>
      <c r="C19" s="9" t="s">
        <v>54</v>
      </c>
      <c r="D19" s="9" t="s">
        <v>133</v>
      </c>
      <c r="E19" s="9" t="s">
        <v>134</v>
      </c>
      <c r="F19" s="9">
        <v>2</v>
      </c>
      <c r="G19" s="9">
        <v>4</v>
      </c>
      <c r="H19" s="9">
        <f ca="1">F19*G19</f>
        <v>0</v>
      </c>
      <c r="I19" s="10">
        <f ca="1">IF(H19&gt;=17,"Critical",IF(H19&gt;=10,"High",IF(H19&gt;=5,"Medium","Low")))</f>
        <v>0</v>
      </c>
      <c r="J19" s="9" t="s">
        <v>57</v>
      </c>
      <c r="K19" s="9" t="s">
        <v>135</v>
      </c>
      <c r="L19" s="9" t="s">
        <v>85</v>
      </c>
    </row>
    <row r="20" spans="1:12" ht="60.75" customHeight="1">
      <c r="A20" s="9" t="s">
        <v>136</v>
      </c>
      <c r="B20" s="9" t="s">
        <v>58</v>
      </c>
      <c r="C20" s="9" t="s">
        <v>59</v>
      </c>
      <c r="D20" s="9" t="s">
        <v>86</v>
      </c>
      <c r="E20" s="9" t="s">
        <v>137</v>
      </c>
      <c r="F20" s="9">
        <v>3</v>
      </c>
      <c r="G20" s="9">
        <v>4</v>
      </c>
      <c r="H20" s="9">
        <f ca="1">F20*G20</f>
        <v>0</v>
      </c>
      <c r="I20" s="10">
        <f ca="1">IF(H20&gt;=17,"Critical",IF(H20&gt;=10,"High",IF(H20&gt;=5,"Medium","Low")))</f>
        <v>0</v>
      </c>
      <c r="J20" s="9" t="s">
        <v>63</v>
      </c>
      <c r="K20" s="9" t="s">
        <v>138</v>
      </c>
      <c r="L20" s="9" t="s">
        <v>89</v>
      </c>
    </row>
    <row r="21" spans="1:12" ht="60.75" customHeight="1">
      <c r="A21" s="9" t="s">
        <v>139</v>
      </c>
      <c r="B21" s="9" t="s">
        <v>58</v>
      </c>
      <c r="C21" s="9" t="s">
        <v>59</v>
      </c>
      <c r="D21" s="9" t="s">
        <v>82</v>
      </c>
      <c r="E21" s="9" t="s">
        <v>140</v>
      </c>
      <c r="F21" s="9">
        <v>3</v>
      </c>
      <c r="G21" s="9">
        <v>4</v>
      </c>
      <c r="H21" s="9">
        <f ca="1">F21*G21</f>
        <v>0</v>
      </c>
      <c r="I21" s="10">
        <f ca="1">IF(H21&gt;=17,"Critical",IF(H21&gt;=10,"High",IF(H21&gt;=5,"Medium","Low")))</f>
        <v>0</v>
      </c>
      <c r="J21" s="9" t="s">
        <v>63</v>
      </c>
      <c r="K21" s="9" t="s">
        <v>141</v>
      </c>
      <c r="L21" s="9" t="s">
        <v>85</v>
      </c>
    </row>
    <row r="22" spans="1:12" ht="60.75" customHeight="1">
      <c r="A22" s="9" t="s">
        <v>142</v>
      </c>
      <c r="B22" s="9" t="s">
        <v>64</v>
      </c>
      <c r="C22" s="9" t="s">
        <v>65</v>
      </c>
      <c r="D22" s="9" t="s">
        <v>104</v>
      </c>
      <c r="E22" s="9" t="s">
        <v>143</v>
      </c>
      <c r="F22" s="9">
        <v>2</v>
      </c>
      <c r="G22" s="9">
        <v>4</v>
      </c>
      <c r="H22" s="9">
        <f ca="1">F22*G22</f>
        <v>0</v>
      </c>
      <c r="I22" s="10">
        <f ca="1">IF(H22&gt;=17,"Critical",IF(H22&gt;=10,"High",IF(H22&gt;=5,"Medium","Low")))</f>
        <v>0</v>
      </c>
      <c r="J22" s="9" t="s">
        <v>68</v>
      </c>
      <c r="K22" s="9" t="s">
        <v>144</v>
      </c>
      <c r="L22" s="9" t="s">
        <v>89</v>
      </c>
    </row>
    <row r="23" spans="1:12" ht="60.75" customHeight="1">
      <c r="A23" s="9" t="s">
        <v>145</v>
      </c>
      <c r="B23" s="9" t="s">
        <v>64</v>
      </c>
      <c r="C23" s="9" t="s">
        <v>65</v>
      </c>
      <c r="D23" s="9" t="s">
        <v>133</v>
      </c>
      <c r="E23" s="9" t="s">
        <v>146</v>
      </c>
      <c r="F23" s="9">
        <v>3</v>
      </c>
      <c r="G23" s="9">
        <v>4</v>
      </c>
      <c r="H23" s="9">
        <f ca="1">F23*G23</f>
        <v>0</v>
      </c>
      <c r="I23" s="10">
        <f ca="1">IF(H23&gt;=17,"Critical",IF(H23&gt;=10,"High",IF(H23&gt;=5,"Medium","Low")))</f>
        <v>0</v>
      </c>
      <c r="J23" s="9" t="s">
        <v>68</v>
      </c>
      <c r="K23" s="9" t="s">
        <v>147</v>
      </c>
      <c r="L23" s="9" t="s">
        <v>85</v>
      </c>
    </row>
  </sheetData>
  <mergeCells count="2">
    <mergeCell ref="A1:L1"/>
    <mergeCell ref="A2:L2"/>
  </mergeCells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I13"/>
  <sheetViews>
    <sheetView topLeftCell="A1" view="normal" workbookViewId="0">
      <selection pane="topLeft" activeCell="L5" sqref="L5"/>
    </sheetView>
  </sheetViews>
  <sheetFormatPr customHeight="true" defaultRowHeight="15"/>
  <cols>
    <col min="1" max="1" width="13.84765625" customWidth="1"/>
    <col min="2" max="2" width="11" customWidth="1"/>
    <col min="3" max="3" width="14.7109375" customWidth="1"/>
    <col min="4" max="4" width="21.41796875" customWidth="1"/>
    <col min="5" max="5" width="24.41796875" customWidth="1"/>
    <col min="6" max="6" width="11.140625" customWidth="1"/>
    <col min="7" max="7" width="9.7109375" customWidth="1"/>
    <col min="8" max="8" width="8.84765625" customWidth="1"/>
  </cols>
  <sheetData>
    <row r="1" spans="1:9" ht="18.75" customHeight="1">
      <c r="A1" s="11" t="s">
        <v>148</v>
      </c>
      <c r="B1" s="11"/>
      <c r="C1" s="11"/>
      <c r="D1" s="11"/>
      <c r="E1" s="11"/>
      <c r="F1" s="11"/>
      <c r="G1" s="11"/>
      <c r="H1" s="11"/>
      <c r="I1" s="11"/>
    </row>
    <row r="3" spans="1:9" ht="36" customHeight="1">
      <c r="A3" s="12" t="s">
        <v>149</v>
      </c>
      <c r="B3" s="12" t="s">
        <v>71</v>
      </c>
      <c r="C3" s="12" t="s">
        <v>12</v>
      </c>
      <c r="D3" s="12" t="s">
        <v>150</v>
      </c>
      <c r="E3" s="12" t="s">
        <v>151</v>
      </c>
      <c r="F3" s="12" t="s">
        <v>152</v>
      </c>
      <c r="G3" s="12" t="s">
        <v>153</v>
      </c>
      <c r="H3" s="12" t="s">
        <v>154</v>
      </c>
      <c r="I3" s="12" t="s">
        <v>9</v>
      </c>
    </row>
    <row r="4" spans="1:9" ht="30.75" customHeight="1">
      <c r="A4" s="9" t="s">
        <v>155</v>
      </c>
      <c r="B4" s="9" t="s">
        <v>80</v>
      </c>
      <c r="C4" s="9" t="s">
        <v>11</v>
      </c>
      <c r="D4" s="9" t="s">
        <v>82</v>
      </c>
      <c r="E4" s="9" t="s">
        <v>156</v>
      </c>
      <c r="F4" s="9" t="s">
        <v>22</v>
      </c>
      <c r="G4" s="9" t="s">
        <v>157</v>
      </c>
      <c r="H4" s="9" t="s">
        <v>158</v>
      </c>
      <c r="I4" s="9" t="s">
        <v>89</v>
      </c>
    </row>
    <row r="5" spans="1:9" ht="45.75" customHeight="1">
      <c r="A5" s="9" t="s">
        <v>159</v>
      </c>
      <c r="B5" s="9" t="s">
        <v>81</v>
      </c>
      <c r="C5" s="9" t="s">
        <v>11</v>
      </c>
      <c r="D5" s="9" t="s">
        <v>86</v>
      </c>
      <c r="E5" s="9" t="s">
        <v>160</v>
      </c>
      <c r="F5" s="9" t="s">
        <v>22</v>
      </c>
      <c r="G5" s="9" t="s">
        <v>161</v>
      </c>
      <c r="H5" s="9" t="s">
        <v>158</v>
      </c>
      <c r="I5" s="9" t="s">
        <v>89</v>
      </c>
    </row>
    <row r="6" spans="1:9" ht="45.75" customHeight="1">
      <c r="A6" s="9" t="s">
        <v>162</v>
      </c>
      <c r="B6" s="9" t="s">
        <v>90</v>
      </c>
      <c r="C6" s="9" t="s">
        <v>20</v>
      </c>
      <c r="D6" s="9" t="s">
        <v>163</v>
      </c>
      <c r="E6" s="9" t="s">
        <v>164</v>
      </c>
      <c r="F6" s="9" t="s">
        <v>165</v>
      </c>
      <c r="G6" s="9" t="s">
        <v>161</v>
      </c>
      <c r="H6" s="9" t="s">
        <v>166</v>
      </c>
      <c r="I6" s="9" t="s">
        <v>85</v>
      </c>
    </row>
    <row r="7" spans="1:9" ht="30.75" customHeight="1">
      <c r="A7" s="9" t="s">
        <v>167</v>
      </c>
      <c r="B7" s="9" t="s">
        <v>93</v>
      </c>
      <c r="C7" s="9" t="s">
        <v>20</v>
      </c>
      <c r="D7" s="9" t="s">
        <v>86</v>
      </c>
      <c r="E7" s="9" t="s">
        <v>168</v>
      </c>
      <c r="F7" s="9" t="s">
        <v>22</v>
      </c>
      <c r="G7" s="9" t="s">
        <v>157</v>
      </c>
      <c r="H7" s="9" t="s">
        <v>166</v>
      </c>
      <c r="I7" s="9" t="s">
        <v>89</v>
      </c>
    </row>
    <row r="8" spans="1:9" ht="30.75" customHeight="1">
      <c r="A8" s="9" t="s">
        <v>169</v>
      </c>
      <c r="B8" s="9" t="s">
        <v>96</v>
      </c>
      <c r="C8" s="9" t="s">
        <v>26</v>
      </c>
      <c r="D8" s="9" t="s">
        <v>170</v>
      </c>
      <c r="E8" s="9" t="s">
        <v>171</v>
      </c>
      <c r="F8" s="9" t="s">
        <v>22</v>
      </c>
      <c r="G8" s="9" t="s">
        <v>172</v>
      </c>
      <c r="H8" s="9" t="s">
        <v>30</v>
      </c>
      <c r="I8" s="9" t="s">
        <v>89</v>
      </c>
    </row>
    <row r="9" spans="1:9" ht="45.75" customHeight="1">
      <c r="A9" s="9" t="s">
        <v>173</v>
      </c>
      <c r="B9" s="9" t="s">
        <v>100</v>
      </c>
      <c r="C9" s="9" t="s">
        <v>26</v>
      </c>
      <c r="D9" s="9" t="s">
        <v>163</v>
      </c>
      <c r="E9" s="9" t="s">
        <v>174</v>
      </c>
      <c r="F9" s="9" t="s">
        <v>22</v>
      </c>
      <c r="G9" s="9" t="s">
        <v>161</v>
      </c>
      <c r="H9" s="9" t="s">
        <v>30</v>
      </c>
      <c r="I9" s="9" t="s">
        <v>85</v>
      </c>
    </row>
    <row r="10" spans="1:9" ht="45.75" customHeight="1">
      <c r="A10" s="9" t="s">
        <v>175</v>
      </c>
      <c r="B10" s="9" t="s">
        <v>103</v>
      </c>
      <c r="C10" s="9" t="s">
        <v>32</v>
      </c>
      <c r="D10" s="9" t="s">
        <v>104</v>
      </c>
      <c r="E10" s="9" t="s">
        <v>176</v>
      </c>
      <c r="F10" s="9" t="s">
        <v>22</v>
      </c>
      <c r="G10" s="9" t="s">
        <v>177</v>
      </c>
      <c r="H10" s="9" t="s">
        <v>36</v>
      </c>
      <c r="I10" s="9" t="s">
        <v>89</v>
      </c>
    </row>
    <row r="11" spans="1:9" ht="45.75" customHeight="1">
      <c r="A11" s="9" t="s">
        <v>178</v>
      </c>
      <c r="B11" s="9" t="s">
        <v>107</v>
      </c>
      <c r="C11" s="9" t="s">
        <v>32</v>
      </c>
      <c r="D11" s="9" t="s">
        <v>170</v>
      </c>
      <c r="E11" s="9" t="s">
        <v>179</v>
      </c>
      <c r="F11" s="9" t="s">
        <v>22</v>
      </c>
      <c r="G11" s="9" t="s">
        <v>172</v>
      </c>
      <c r="H11" s="9" t="s">
        <v>36</v>
      </c>
      <c r="I11" s="9" t="s">
        <v>85</v>
      </c>
    </row>
    <row r="12" spans="1:9" ht="30.75" customHeight="1">
      <c r="A12" s="9" t="s">
        <v>180</v>
      </c>
      <c r="B12" s="9" t="s">
        <v>110</v>
      </c>
      <c r="C12" s="9" t="s">
        <v>38</v>
      </c>
      <c r="D12" s="9" t="s">
        <v>82</v>
      </c>
      <c r="E12" s="9" t="s">
        <v>181</v>
      </c>
      <c r="F12" s="9" t="s">
        <v>22</v>
      </c>
      <c r="G12" s="9" t="s">
        <v>157</v>
      </c>
      <c r="H12" s="9" t="s">
        <v>41</v>
      </c>
      <c r="I12" s="9" t="s">
        <v>89</v>
      </c>
    </row>
    <row r="13" spans="1:9" ht="45.75" customHeight="1">
      <c r="A13" s="13" t="s">
        <v>182</v>
      </c>
      <c r="B13" s="13" t="s">
        <v>113</v>
      </c>
      <c r="C13" s="13" t="s">
        <v>38</v>
      </c>
      <c r="D13" s="13" t="s">
        <v>183</v>
      </c>
      <c r="E13" s="13" t="s">
        <v>184</v>
      </c>
      <c r="F13" s="13" t="s">
        <v>22</v>
      </c>
      <c r="G13" s="13" t="s">
        <v>185</v>
      </c>
      <c r="H13" s="13" t="s">
        <v>41</v>
      </c>
      <c r="I13" s="13" t="s">
        <v>89</v>
      </c>
    </row>
  </sheetData>
  <mergeCells count="1">
    <mergeCell ref="A1:I1"/>
  </mergeCells>
  <pageMargins left="0.7" right="0.7" top="0.75" bottom="0.75" header="0.3" footer="0.3"/>
  <headerFooter scaleWithDoc="1" alignWithMargins="0" differentFirst="0" differentOddEven="0"/>
  <extLst/>
</worksheet>
</file>

<file path=xl/worksheets/sheet4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J8"/>
  <sheetViews>
    <sheetView topLeftCell="A1" view="normal" workbookViewId="0">
      <selection pane="topLeft" activeCell="H8" sqref="H8"/>
    </sheetView>
  </sheetViews>
  <sheetFormatPr customHeight="true" defaultRowHeight="15"/>
  <cols>
    <col min="1" max="1" width="13" customWidth="1"/>
    <col min="2" max="2" width="14" customWidth="1"/>
    <col min="3" max="3" width="14.7109375" customWidth="1"/>
    <col min="4" max="4" width="24.7109375" customWidth="1"/>
    <col min="5" max="5" width="10.5703125" customWidth="1"/>
    <col min="6" max="6" width="11.41796875" customWidth="1"/>
    <col min="7" max="7" width="14.84765625" customWidth="1"/>
    <col min="8" max="8" width="10.84765625" customWidth="1"/>
    <col min="9" max="9" width="11.41796875" customWidth="1"/>
    <col min="10" max="10" width="13.27734375" customWidth="1"/>
  </cols>
  <sheetData>
    <row r="1" spans="1:9" ht="18.75" customHeight="1">
      <c r="A1" s="11" t="s">
        <v>186</v>
      </c>
      <c r="B1" s="11"/>
      <c r="C1" s="11"/>
      <c r="D1" s="11"/>
      <c r="E1" s="11"/>
      <c r="F1" s="11"/>
      <c r="G1" s="11"/>
      <c r="H1" s="11"/>
      <c r="I1" s="11"/>
    </row>
    <row r="3" spans="1:10" ht="36" customHeight="1">
      <c r="A3" s="12" t="s">
        <v>187</v>
      </c>
      <c r="B3" s="12" t="s">
        <v>149</v>
      </c>
      <c r="C3" s="12" t="s">
        <v>12</v>
      </c>
      <c r="D3" s="12" t="s">
        <v>188</v>
      </c>
      <c r="E3" s="12" t="s">
        <v>154</v>
      </c>
      <c r="F3" s="12" t="s">
        <v>189</v>
      </c>
      <c r="G3" s="12" t="s">
        <v>190</v>
      </c>
      <c r="H3" s="12" t="s">
        <v>9</v>
      </c>
      <c r="I3" s="12" t="s">
        <v>191</v>
      </c>
      <c r="J3" s="12" t="s">
        <v>192</v>
      </c>
    </row>
    <row r="4" spans="1:10" ht="45.75" customHeight="1">
      <c r="A4" s="9" t="s">
        <v>193</v>
      </c>
      <c r="B4" s="9" t="s">
        <v>155</v>
      </c>
      <c r="C4" s="9" t="s">
        <v>11</v>
      </c>
      <c r="D4" s="9" t="s">
        <v>194</v>
      </c>
      <c r="E4" s="9" t="s">
        <v>158</v>
      </c>
      <c r="F4" s="9" t="s">
        <v>22</v>
      </c>
      <c r="G4" s="9" t="s">
        <v>195</v>
      </c>
      <c r="H4" s="9" t="s">
        <v>85</v>
      </c>
      <c r="I4" s="9" t="s">
        <v>157</v>
      </c>
      <c r="J4" s="9" t="s">
        <v>196</v>
      </c>
    </row>
    <row r="5" spans="1:10" ht="30.75" customHeight="1">
      <c r="A5" s="9" t="s">
        <v>197</v>
      </c>
      <c r="B5" s="9" t="s">
        <v>159</v>
      </c>
      <c r="C5" s="9" t="s">
        <v>11</v>
      </c>
      <c r="D5" s="9" t="s">
        <v>198</v>
      </c>
      <c r="E5" s="9" t="s">
        <v>158</v>
      </c>
      <c r="F5" s="9" t="s">
        <v>22</v>
      </c>
      <c r="G5" s="9" t="s">
        <v>199</v>
      </c>
      <c r="H5" s="9" t="s">
        <v>89</v>
      </c>
      <c r="I5" s="9" t="s">
        <v>200</v>
      </c>
      <c r="J5" s="9" t="s">
        <v>201</v>
      </c>
    </row>
    <row r="6" spans="1:10" ht="30.75" customHeight="1">
      <c r="A6" s="9" t="s">
        <v>202</v>
      </c>
      <c r="B6" s="9" t="s">
        <v>162</v>
      </c>
      <c r="C6" s="9" t="s">
        <v>20</v>
      </c>
      <c r="D6" s="9" t="s">
        <v>203</v>
      </c>
      <c r="E6" s="9" t="s">
        <v>166</v>
      </c>
      <c r="F6" s="9" t="s">
        <v>165</v>
      </c>
      <c r="G6" s="9" t="s">
        <v>204</v>
      </c>
      <c r="H6" s="9" t="s">
        <v>85</v>
      </c>
      <c r="I6" s="9" t="s">
        <v>205</v>
      </c>
      <c r="J6" s="9" t="s">
        <v>201</v>
      </c>
    </row>
    <row r="7" spans="1:10" ht="30.75" customHeight="1">
      <c r="A7" s="9" t="s">
        <v>206</v>
      </c>
      <c r="B7" s="9" t="s">
        <v>167</v>
      </c>
      <c r="C7" s="9" t="s">
        <v>20</v>
      </c>
      <c r="D7" s="9" t="s">
        <v>207</v>
      </c>
      <c r="E7" s="9" t="s">
        <v>166</v>
      </c>
      <c r="F7" s="9" t="s">
        <v>22</v>
      </c>
      <c r="G7" s="9" t="s">
        <v>208</v>
      </c>
      <c r="H7" s="9" t="s">
        <v>89</v>
      </c>
      <c r="I7" s="9" t="s">
        <v>157</v>
      </c>
      <c r="J7" s="9" t="s">
        <v>201</v>
      </c>
    </row>
    <row r="8" spans="1:10" ht="30.75" customHeight="1">
      <c r="A8" s="9" t="s">
        <v>209</v>
      </c>
      <c r="B8" s="9" t="s">
        <v>169</v>
      </c>
      <c r="C8" s="9" t="s">
        <v>26</v>
      </c>
      <c r="D8" s="9" t="s">
        <v>210</v>
      </c>
      <c r="E8" s="9" t="s">
        <v>30</v>
      </c>
      <c r="F8" s="9" t="s">
        <v>22</v>
      </c>
      <c r="G8" s="9" t="s">
        <v>211</v>
      </c>
      <c r="H8" s="9" t="s">
        <v>89</v>
      </c>
      <c r="I8" s="9" t="s">
        <v>212</v>
      </c>
      <c r="J8" s="9" t="s">
        <v>201</v>
      </c>
    </row>
  </sheetData>
  <mergeCells count="1">
    <mergeCell ref="A1:I1"/>
  </mergeCells>
  <pageMargins left="0.7" right="0.7" top="0.75" bottom="0.75" header="0.3" footer="0.3"/>
  <headerFooter scaleWithDoc="1" alignWithMargins="0" differentFirst="0" differentOddEven="0"/>
  <extLst/>
</worksheet>
</file>

<file path=xl/worksheets/sheet5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J8"/>
  <sheetViews>
    <sheetView topLeftCell="A1" view="normal" workbookViewId="0">
      <selection pane="topLeft" activeCell="G20" sqref="G20"/>
    </sheetView>
  </sheetViews>
  <sheetFormatPr customHeight="true" defaultRowHeight="15"/>
  <cols>
    <col min="1" max="1" width="18" customWidth="1"/>
    <col min="2" max="2" width="15.140625" customWidth="1"/>
    <col min="3" max="3" width="22.7109375" customWidth="1"/>
    <col min="4" max="4" width="20.140625" customWidth="1"/>
    <col min="5" max="5" width="11.5703125" customWidth="1"/>
    <col min="6" max="6" width="11" customWidth="1"/>
    <col min="7" max="7" width="22.41796875" customWidth="1"/>
    <col min="8" max="8" width="17.5703125" customWidth="1"/>
    <col min="9" max="9" width="12.41796875" customWidth="1"/>
    <col min="10" max="10" width="19.5703125" customWidth="1"/>
  </cols>
  <sheetData>
    <row r="1" spans="1:9" ht="18.75" customHeight="1">
      <c r="A1" s="11" t="s">
        <v>213</v>
      </c>
      <c r="B1" s="11"/>
      <c r="C1" s="11"/>
      <c r="D1" s="11"/>
      <c r="E1" s="11"/>
      <c r="F1" s="11"/>
      <c r="G1" s="11"/>
      <c r="H1" s="11"/>
      <c r="I1" s="11"/>
    </row>
    <row r="3" spans="1:10" ht="36" customHeight="1">
      <c r="A3" s="12" t="s">
        <v>214</v>
      </c>
      <c r="B3" s="12" t="s">
        <v>12</v>
      </c>
      <c r="C3" s="12" t="s">
        <v>215</v>
      </c>
      <c r="D3" s="12" t="s">
        <v>216</v>
      </c>
      <c r="E3" s="12" t="s">
        <v>217</v>
      </c>
      <c r="F3" s="12" t="s">
        <v>218</v>
      </c>
      <c r="G3" s="12" t="s">
        <v>219</v>
      </c>
      <c r="H3" s="12" t="s">
        <v>220</v>
      </c>
      <c r="I3" s="12" t="s">
        <v>9</v>
      </c>
      <c r="J3" s="12" t="s">
        <v>221</v>
      </c>
    </row>
    <row r="4" spans="1:10" ht="30.75" customHeight="1">
      <c r="A4" s="9" t="s">
        <v>222</v>
      </c>
      <c r="B4" s="9" t="s">
        <v>11</v>
      </c>
      <c r="C4" s="9" t="s">
        <v>223</v>
      </c>
      <c r="D4" s="9" t="s">
        <v>224</v>
      </c>
      <c r="E4" s="9" t="s">
        <v>225</v>
      </c>
      <c r="F4" s="9">
        <v>2</v>
      </c>
      <c r="G4" s="9">
        <v>0</v>
      </c>
      <c r="H4" s="9">
        <v>2</v>
      </c>
      <c r="I4" s="9" t="s">
        <v>226</v>
      </c>
      <c r="J4" s="9" t="s">
        <v>227</v>
      </c>
    </row>
    <row r="5" spans="1:10" ht="30.75" customHeight="1">
      <c r="A5" s="9" t="s">
        <v>228</v>
      </c>
      <c r="B5" s="9" t="s">
        <v>20</v>
      </c>
      <c r="C5" s="9" t="s">
        <v>229</v>
      </c>
      <c r="D5" s="9" t="s">
        <v>230</v>
      </c>
      <c r="E5" s="9" t="s">
        <v>225</v>
      </c>
      <c r="F5" s="9">
        <v>2</v>
      </c>
      <c r="G5" s="9">
        <v>1</v>
      </c>
      <c r="H5" s="9">
        <v>1</v>
      </c>
      <c r="I5" s="9" t="s">
        <v>85</v>
      </c>
      <c r="J5" s="9" t="s">
        <v>231</v>
      </c>
    </row>
    <row r="6" spans="1:10" ht="30.75" customHeight="1">
      <c r="A6" s="9" t="s">
        <v>232</v>
      </c>
      <c r="B6" s="9" t="s">
        <v>26</v>
      </c>
      <c r="C6" s="9" t="s">
        <v>233</v>
      </c>
      <c r="D6" s="9" t="s">
        <v>234</v>
      </c>
      <c r="E6" s="9" t="s">
        <v>225</v>
      </c>
      <c r="F6" s="9">
        <v>2</v>
      </c>
      <c r="G6" s="9">
        <v>0</v>
      </c>
      <c r="H6" s="9">
        <v>2</v>
      </c>
      <c r="I6" s="9" t="s">
        <v>226</v>
      </c>
      <c r="J6" s="9" t="s">
        <v>235</v>
      </c>
    </row>
    <row r="7" spans="1:10" ht="30.75" customHeight="1">
      <c r="A7" s="9" t="s">
        <v>236</v>
      </c>
      <c r="B7" s="9" t="s">
        <v>32</v>
      </c>
      <c r="C7" s="9" t="s">
        <v>237</v>
      </c>
      <c r="D7" s="9" t="s">
        <v>238</v>
      </c>
      <c r="E7" s="9" t="s">
        <v>225</v>
      </c>
      <c r="F7" s="9">
        <v>2</v>
      </c>
      <c r="G7" s="9">
        <v>0</v>
      </c>
      <c r="H7" s="9">
        <v>2</v>
      </c>
      <c r="I7" s="9" t="s">
        <v>85</v>
      </c>
      <c r="J7" s="9" t="s">
        <v>239</v>
      </c>
    </row>
    <row r="8" spans="1:10" ht="30.75" customHeight="1">
      <c r="A8" s="9" t="s">
        <v>240</v>
      </c>
      <c r="B8" s="9" t="s">
        <v>38</v>
      </c>
      <c r="C8" s="9" t="s">
        <v>241</v>
      </c>
      <c r="D8" s="9" t="s">
        <v>242</v>
      </c>
      <c r="E8" s="9" t="s">
        <v>225</v>
      </c>
      <c r="F8" s="9">
        <v>2</v>
      </c>
      <c r="G8" s="9">
        <v>0</v>
      </c>
      <c r="H8" s="9">
        <v>2</v>
      </c>
      <c r="I8" s="9" t="s">
        <v>243</v>
      </c>
      <c r="J8" s="9" t="s">
        <v>244</v>
      </c>
    </row>
  </sheetData>
  <mergeCells count="1">
    <mergeCell ref="A1:I1"/>
  </mergeCells>
  <pageMargins left="0.7" right="0.7" top="0.75" bottom="0.75" header="0.3" footer="0.3"/>
  <headerFooter scaleWithDoc="1" alignWithMargins="0" differentFirst="0" differentOddEven="0"/>
  <extLst/>
</worksheet>
</file>

<file path=xl/worksheets/sheet6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I11"/>
  <sheetViews>
    <sheetView topLeftCell="A5" view="normal" workbookViewId="0">
      <selection pane="topLeft" activeCell="A2" sqref="A2"/>
    </sheetView>
  </sheetViews>
  <sheetFormatPr customHeight="true" defaultRowHeight="15"/>
  <cols>
    <col min="1" max="1" width="13.7109375" customWidth="1"/>
    <col min="2" max="2" width="16.5703125" customWidth="1"/>
    <col min="3" max="3" width="17" customWidth="1"/>
    <col min="4" max="4" width="14.27734375" customWidth="1"/>
    <col min="5" max="5" width="12.41796875" customWidth="1"/>
    <col min="6" max="6" width="23" customWidth="1"/>
    <col min="7" max="7" width="24" customWidth="1"/>
    <col min="8" max="8" width="12.41796875" customWidth="1"/>
    <col min="9" max="9" width="18.7109375" customWidth="1"/>
  </cols>
  <sheetData>
    <row r="1" spans="1:9" ht="18.75" customHeight="1">
      <c r="A1" s="1" t="s">
        <v>245</v>
      </c>
      <c r="B1" s="1"/>
      <c r="C1" s="1"/>
      <c r="D1" s="1"/>
      <c r="E1" s="1"/>
      <c r="F1" s="1"/>
      <c r="G1" s="1"/>
      <c r="H1" s="1"/>
      <c r="I1" s="1"/>
    </row>
    <row r="3" spans="1:9" ht="18.75" customHeight="1">
      <c r="A3" s="12" t="s">
        <v>246</v>
      </c>
      <c r="B3" s="12" t="s">
        <v>247</v>
      </c>
      <c r="C3" s="12" t="s">
        <v>248</v>
      </c>
      <c r="D3" s="12" t="s">
        <v>12</v>
      </c>
      <c r="E3" s="12" t="s">
        <v>9</v>
      </c>
      <c r="F3" s="12" t="s">
        <v>249</v>
      </c>
      <c r="G3" s="12" t="s">
        <v>249</v>
      </c>
      <c r="H3" s="12" t="s">
        <v>154</v>
      </c>
      <c r="I3" s="12" t="s">
        <v>250</v>
      </c>
    </row>
    <row r="4" spans="1:9" ht="60.75" customHeight="1">
      <c r="A4" s="9" t="s">
        <v>251</v>
      </c>
      <c r="B4" s="9" t="s">
        <v>252</v>
      </c>
      <c r="C4" s="9" t="s">
        <v>253</v>
      </c>
      <c r="D4" s="9" t="s">
        <v>11</v>
      </c>
      <c r="E4" s="9" t="s">
        <v>254</v>
      </c>
      <c r="F4" s="9" t="s">
        <v>157</v>
      </c>
      <c r="G4" s="9" t="s">
        <v>157</v>
      </c>
      <c r="H4" s="9" t="s">
        <v>158</v>
      </c>
      <c r="I4" s="9" t="s">
        <v>255</v>
      </c>
    </row>
    <row r="5" spans="1:9" ht="60.75" customHeight="1">
      <c r="A5" s="9" t="s">
        <v>256</v>
      </c>
      <c r="B5" s="9" t="s">
        <v>163</v>
      </c>
      <c r="C5" s="9" t="s">
        <v>257</v>
      </c>
      <c r="D5" s="9" t="s">
        <v>20</v>
      </c>
      <c r="E5" s="9" t="s">
        <v>258</v>
      </c>
      <c r="F5" s="9" t="s">
        <v>205</v>
      </c>
      <c r="G5" s="9" t="s">
        <v>205</v>
      </c>
      <c r="H5" s="9" t="s">
        <v>166</v>
      </c>
      <c r="I5" s="9" t="s">
        <v>259</v>
      </c>
    </row>
    <row r="6" spans="1:9" ht="60.75" customHeight="1">
      <c r="A6" s="9" t="s">
        <v>260</v>
      </c>
      <c r="B6" s="9" t="s">
        <v>97</v>
      </c>
      <c r="C6" s="9" t="s">
        <v>261</v>
      </c>
      <c r="D6" s="9" t="s">
        <v>262</v>
      </c>
      <c r="E6" s="9" t="s">
        <v>254</v>
      </c>
      <c r="F6" s="9" t="s">
        <v>172</v>
      </c>
      <c r="G6" s="9" t="s">
        <v>172</v>
      </c>
      <c r="H6" s="9" t="s">
        <v>30</v>
      </c>
      <c r="I6" s="9" t="s">
        <v>263</v>
      </c>
    </row>
    <row r="7" spans="1:9" ht="60.75" customHeight="1">
      <c r="A7" s="9" t="s">
        <v>264</v>
      </c>
      <c r="B7" s="9" t="s">
        <v>265</v>
      </c>
      <c r="C7" s="9" t="s">
        <v>266</v>
      </c>
      <c r="D7" s="9" t="s">
        <v>32</v>
      </c>
      <c r="E7" s="9" t="s">
        <v>254</v>
      </c>
      <c r="F7" s="9" t="s">
        <v>267</v>
      </c>
      <c r="G7" s="9" t="s">
        <v>267</v>
      </c>
      <c r="H7" s="9" t="s">
        <v>36</v>
      </c>
      <c r="I7" s="9" t="s">
        <v>268</v>
      </c>
    </row>
    <row r="8" spans="1:9" ht="75.75" customHeight="1">
      <c r="A8" s="9" t="s">
        <v>269</v>
      </c>
      <c r="B8" s="9" t="s">
        <v>86</v>
      </c>
      <c r="C8" s="9" t="s">
        <v>270</v>
      </c>
      <c r="D8" s="9" t="s">
        <v>271</v>
      </c>
      <c r="E8" s="9" t="s">
        <v>254</v>
      </c>
      <c r="F8" s="9" t="s">
        <v>200</v>
      </c>
      <c r="G8" s="9" t="s">
        <v>200</v>
      </c>
      <c r="H8" s="9" t="s">
        <v>46</v>
      </c>
      <c r="I8" s="9" t="s">
        <v>272</v>
      </c>
    </row>
    <row r="9" spans="1:9" ht="45.75" customHeight="1">
      <c r="A9" s="9" t="s">
        <v>273</v>
      </c>
      <c r="B9" s="9" t="s">
        <v>274</v>
      </c>
      <c r="C9" s="9" t="s">
        <v>275</v>
      </c>
      <c r="D9" s="9" t="s">
        <v>48</v>
      </c>
      <c r="E9" s="9" t="s">
        <v>276</v>
      </c>
      <c r="F9" s="9" t="s">
        <v>277</v>
      </c>
      <c r="G9" s="9" t="s">
        <v>277</v>
      </c>
      <c r="H9" s="9" t="s">
        <v>52</v>
      </c>
      <c r="I9" s="9" t="s">
        <v>201</v>
      </c>
    </row>
    <row r="10" spans="1:9" ht="60.75" customHeight="1">
      <c r="A10" s="9" t="s">
        <v>278</v>
      </c>
      <c r="B10" s="9" t="s">
        <v>279</v>
      </c>
      <c r="C10" s="9" t="s">
        <v>280</v>
      </c>
      <c r="D10" s="9" t="s">
        <v>54</v>
      </c>
      <c r="E10" s="9" t="s">
        <v>276</v>
      </c>
      <c r="F10" s="9" t="s">
        <v>281</v>
      </c>
      <c r="G10" s="9" t="s">
        <v>281</v>
      </c>
      <c r="H10" s="9" t="s">
        <v>57</v>
      </c>
      <c r="I10" s="9" t="s">
        <v>201</v>
      </c>
    </row>
    <row r="11" spans="1:9" ht="45.75" customHeight="1">
      <c r="A11" s="9" t="s">
        <v>282</v>
      </c>
      <c r="B11" s="9" t="s">
        <v>283</v>
      </c>
      <c r="C11" s="9" t="s">
        <v>284</v>
      </c>
      <c r="D11" s="9" t="s">
        <v>54</v>
      </c>
      <c r="E11" s="9" t="s">
        <v>254</v>
      </c>
      <c r="F11" s="9" t="s">
        <v>285</v>
      </c>
      <c r="G11" s="9" t="s">
        <v>285</v>
      </c>
      <c r="H11" s="9" t="s">
        <v>57</v>
      </c>
      <c r="I11" s="9" t="s">
        <v>286</v>
      </c>
    </row>
  </sheetData>
  <mergeCells count="1">
    <mergeCell ref="A1:I1"/>
  </mergeCells>
  <pageMargins left="0.7" right="0.7" top="0.75" bottom="0.75" header="0.3" footer="0.3"/>
  <headerFooter scaleWithDoc="1" alignWithMargins="0" differentFirst="0" differentOddEven="0"/>
  <extLst/>
</worksheet>
</file>

<file path=xl/worksheets/sheet7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G10"/>
  <sheetViews>
    <sheetView topLeftCell="A1" view="normal" workbookViewId="0">
      <selection pane="topLeft" activeCell="B10" sqref="B10"/>
    </sheetView>
  </sheetViews>
  <sheetFormatPr customHeight="true" defaultRowHeight="15"/>
  <cols>
    <col min="2" max="2" width="15" customWidth="1"/>
    <col min="3" max="4" width="10" customWidth="1"/>
    <col min="5" max="5" width="16.5703125" customWidth="1"/>
  </cols>
  <sheetData>
    <row r="1" spans="1:7" ht="18.75" customHeight="1">
      <c r="A1" s="14" t="s">
        <v>287</v>
      </c>
      <c r="B1" s="14"/>
      <c r="C1" s="14"/>
      <c r="D1" s="14"/>
      <c r="E1" s="14"/>
      <c r="F1" s="14"/>
      <c r="G1" s="14"/>
    </row>
    <row r="2" spans="2:5" ht="18.75" customHeight="1">
      <c r="B2" s="12" t="s">
        <v>288</v>
      </c>
      <c r="C2" s="12" t="s">
        <v>289</v>
      </c>
      <c r="D2" s="12" t="s">
        <v>290</v>
      </c>
      <c r="E2" s="12" t="s">
        <v>9</v>
      </c>
    </row>
    <row r="3" spans="2:5" ht="45.75" customHeight="1">
      <c r="B3" s="9" t="s">
        <v>291</v>
      </c>
      <c r="C3" s="9">
        <f ca="1">COUNTA('Application Inventory'!A4:A13)</f>
        <v>0</v>
      </c>
      <c r="D3" s="9">
        <v>10</v>
      </c>
      <c r="E3" s="9" t="s">
        <v>292</v>
      </c>
    </row>
    <row r="4" spans="2:5" ht="30.75" customHeight="1">
      <c r="B4" s="9" t="s">
        <v>293</v>
      </c>
      <c r="C4" s="9">
        <f ca="1">COUNTA('Risk Register'!A4:A23)</f>
        <v>0</v>
      </c>
      <c r="D4" s="9" t="s">
        <v>294</v>
      </c>
      <c r="E4" s="9" t="s">
        <v>292</v>
      </c>
    </row>
    <row r="5" spans="2:5" ht="30.75" customHeight="1">
      <c r="B5" s="9" t="s">
        <v>295</v>
      </c>
      <c r="C5" s="9">
        <f ca="1">COUNTIF('Risk Register'!I4:I23,"Critical")</f>
        <v>0</v>
      </c>
      <c r="D5" s="9">
        <v>0</v>
      </c>
      <c r="E5" s="9" t="s">
        <v>296</v>
      </c>
    </row>
    <row r="6" spans="2:5" ht="30.75" customHeight="1">
      <c r="B6" s="9" t="s">
        <v>297</v>
      </c>
      <c r="C6" s="9">
        <f ca="1">COUNTIF('Risk Register'!I4:I23,"High")</f>
        <v>0</v>
      </c>
      <c r="D6" s="9" t="s">
        <v>298</v>
      </c>
      <c r="E6" s="9" t="s">
        <v>296</v>
      </c>
    </row>
    <row r="7" spans="2:5" ht="30.75" customHeight="1">
      <c r="B7" s="9" t="s">
        <v>299</v>
      </c>
      <c r="C7" s="9">
        <f ca="1">COUNTIF(Findings!I4:I13,"Open")</f>
        <v>0</v>
      </c>
      <c r="D7" s="9" t="s">
        <v>298</v>
      </c>
      <c r="E7" s="9" t="s">
        <v>296</v>
      </c>
    </row>
    <row r="8" spans="2:5" ht="45.75" customHeight="1">
      <c r="B8" s="9" t="s">
        <v>300</v>
      </c>
      <c r="C8" s="9">
        <f ca="1">COUNTIF(Findings!I4:I13,"In Progress")</f>
        <v>0</v>
      </c>
      <c r="D8" s="9" t="s">
        <v>201</v>
      </c>
      <c r="E8" s="9" t="s">
        <v>292</v>
      </c>
    </row>
    <row r="9" spans="2:5" ht="60.75" customHeight="1">
      <c r="B9" s="9" t="s">
        <v>301</v>
      </c>
      <c r="C9" s="9">
        <f ca="1">COUNTIF(Remediation!H4:H8,"Open")</f>
        <v>0</v>
      </c>
      <c r="D9" s="9" t="s">
        <v>298</v>
      </c>
      <c r="E9" s="9" t="s">
        <v>292</v>
      </c>
    </row>
    <row r="10" spans="2:5" ht="30.75" customHeight="1">
      <c r="B10" s="9" t="s">
        <v>302</v>
      </c>
      <c r="C10" s="15" t="s">
        <v>201</v>
      </c>
      <c r="D10" s="9" t="s">
        <v>201</v>
      </c>
      <c r="E10" s="9"/>
    </row>
  </sheetData>
  <mergeCells count="1">
    <mergeCell ref="A1:G1"/>
  </mergeCells>
  <pageMargins left="0.7" right="0.7" top="0.75" bottom="0.75" header="0.3" footer="0.3"/>
  <headerFooter scaleWithDoc="1" alignWithMargins="0" differentFirst="0" differentOddEven="0"/>
  <extLst/>
</worksheet>
</file>

<file path=xl/worksheets/sheet8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M23"/>
  <sheetViews>
    <sheetView topLeftCell="A1" showGridLines="0" view="normal" tabSelected="1" workbookViewId="0">
      <selection pane="topLeft" activeCell="M9" sqref="M9"/>
    </sheetView>
  </sheetViews>
  <sheetFormatPr customHeight="true" defaultRowHeight="15"/>
  <cols>
    <col min="1" max="1" width="14.7109375" customWidth="1"/>
    <col min="2" max="2" width="10.7109375" customWidth="1"/>
    <col min="3" max="3" width="11.27734375" customWidth="1"/>
    <col min="4" max="4" width="10.27734375" customWidth="1"/>
    <col min="5" max="5" width="14" customWidth="1"/>
    <col min="7" max="7" width="10.140625" customWidth="1"/>
  </cols>
  <sheetData>
    <row r="1" spans="1:13" ht="18.75" customHeight="1">
      <c r="A1" s="16" t="s">
        <v>303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</row>
    <row r="3" spans="1:5" ht="18.75" customHeight="1">
      <c r="A3" s="17" t="s">
        <v>12</v>
      </c>
      <c r="B3" s="17" t="s">
        <v>304</v>
      </c>
      <c r="C3" s="17" t="s">
        <v>165</v>
      </c>
      <c r="D3" s="17"/>
      <c r="E3" s="17"/>
    </row>
    <row r="4" spans="1:3">
      <c r="A4">
        <f ca="1">COUNTA('Application Inventory'!A4:A13)</f>
        <v>0</v>
      </c>
      <c r="B4">
        <f ca="1">COUNTA('Risk Register'!A4:A23)</f>
        <v>0</v>
      </c>
      <c r="C4">
        <f ca="1">COUNTIF('Risk Register'!I4:I23,"Critical")</f>
        <v>0</v>
      </c>
    </row>
    <row r="6" spans="1:13" ht="18.75" customHeight="1">
      <c r="A6" s="17" t="s">
        <v>305</v>
      </c>
      <c r="B6" s="17"/>
      <c r="C6" s="17"/>
      <c r="D6" s="17"/>
      <c r="E6" s="17"/>
      <c r="F6" s="17" t="s">
        <v>306</v>
      </c>
      <c r="G6" s="17"/>
      <c r="H6" s="17"/>
      <c r="I6" s="17"/>
      <c r="J6" s="17"/>
      <c r="K6" s="17"/>
      <c r="L6" s="17"/>
      <c r="M6" s="17"/>
    </row>
    <row r="7" spans="1:2">
      <c r="A7" s="18"/>
      <c r="B7" s="18"/>
    </row>
    <row r="8" spans="2:8" ht="28.5" customHeight="1">
      <c r="B8" s="18" t="s">
        <v>165</v>
      </c>
      <c r="C8" s="18">
        <f ca="1">COUNTIF('Risk Register'!I4:I23,"Critical")</f>
        <v>0</v>
      </c>
      <c r="G8" s="18" t="s">
        <v>276</v>
      </c>
      <c r="H8" s="18">
        <f ca="1">COUNTIF(Compliance!E4:E11,"Compliant")</f>
        <v>0</v>
      </c>
    </row>
    <row r="9" spans="2:8" ht="42" customHeight="1">
      <c r="B9" s="18" t="s">
        <v>22</v>
      </c>
      <c r="C9" s="18">
        <f ca="1">COUNTIF('Risk Register'!I4:I23,"High")</f>
        <v>0</v>
      </c>
      <c r="G9" s="18" t="s">
        <v>254</v>
      </c>
      <c r="H9" s="18">
        <f ca="1">COUNTIF(Compliance!E4:E11,"Partially Compliant")</f>
        <v>0</v>
      </c>
    </row>
    <row r="10" spans="2:8" ht="42" customHeight="1">
      <c r="B10" s="18" t="s">
        <v>61</v>
      </c>
      <c r="C10" s="18">
        <f ca="1">COUNTIF('Risk Register'!I4:I23,"Medium")</f>
        <v>0</v>
      </c>
      <c r="G10" s="18" t="s">
        <v>258</v>
      </c>
      <c r="H10" s="18">
        <f ca="1">COUNTIF(Compliance!E4:E11,"Non-Compliant")</f>
        <v>0</v>
      </c>
    </row>
    <row r="11" spans="2:3" customHeight="1">
      <c r="B11" s="18" t="s">
        <v>307</v>
      </c>
      <c r="C11" s="18">
        <f ca="1">COUNTIF('Risk Register'!I4:I23,"Low")</f>
        <v>0</v>
      </c>
    </row>
    <row r="14" spans="1:12" ht="18.75" customHeight="1">
      <c r="A14" s="17" t="s">
        <v>308</v>
      </c>
      <c r="B14" s="17"/>
      <c r="C14" s="17"/>
      <c r="D14" s="17"/>
      <c r="E14" s="17"/>
      <c r="F14" s="20" t="s">
        <v>218</v>
      </c>
      <c r="G14" s="20"/>
      <c r="H14" s="20"/>
      <c r="I14" s="20"/>
      <c r="J14" s="20"/>
      <c r="K14" s="20"/>
      <c r="L14" s="20"/>
    </row>
    <row r="16" spans="2:7" customHeight="1">
      <c r="B16" s="18" t="s">
        <v>89</v>
      </c>
      <c r="C16" s="18">
        <f ca="1">COUNTIF(Remediation!H4:H8,"Open")</f>
        <v>0</v>
      </c>
      <c r="F16" s="18" t="s">
        <v>89</v>
      </c>
      <c r="G16" s="18">
        <f ca="1">COUNTIF(Findings!I4:I13,"Open")</f>
        <v>0</v>
      </c>
    </row>
    <row r="17" spans="2:7" ht="28.5" customHeight="1">
      <c r="B17" s="18" t="s">
        <v>85</v>
      </c>
      <c r="C17" s="18">
        <f ca="1">COUNTIF(Remediation!H4:H8,"In Progress")</f>
        <v>0</v>
      </c>
      <c r="F17" s="18" t="s">
        <v>85</v>
      </c>
      <c r="G17" s="18">
        <f ca="1">COUNTIF(Findings!I4:I13,"In Progress")</f>
        <v>0</v>
      </c>
    </row>
    <row r="18" spans="2:7">
      <c r="B18" s="18" t="s">
        <v>226</v>
      </c>
      <c r="C18" s="18">
        <f ca="1">COUNTIF(Remediation!H4:H8,"Completed")</f>
        <v>0</v>
      </c>
      <c r="F18" s="18" t="s">
        <v>309</v>
      </c>
      <c r="G18" s="18">
        <f ca="1">COUNTIF(Findings!I4:I13,"Closed")</f>
        <v>0</v>
      </c>
    </row>
    <row r="19" ht="18.75" customHeight="1"/>
    <row r="21" spans="2:7">
      <c r="B21" s="18"/>
      <c r="C21" s="18"/>
      <c r="F21" s="18"/>
      <c r="G21" s="18"/>
    </row>
    <row r="22" customHeight="1"/>
    <row r="23" customHeight="1"/>
  </sheetData>
  <mergeCells count="6">
    <mergeCell ref="A1:M1"/>
    <mergeCell ref="A2:M2"/>
    <mergeCell ref="A6:E6"/>
    <mergeCell ref="F6:M6"/>
    <mergeCell ref="A14:E14"/>
    <mergeCell ref="F14:L14"/>
  </mergeCells>
  <pageMargins left="0.7" right="0.7" top="0.75" bottom="0.75" header="0.3" footer="0.3"/>
  <headerFooter scaleWithDoc="1" alignWithMargins="0" differentFirst="0" differentOddEven="0"/>
  <drawing r:id="rId1"/>
  <extLst/>
</worksheet>
</file>

<file path=docProps/app.xml><?xml version="1.0" encoding="utf-8"?>
<Properties xmlns="http://schemas.openxmlformats.org/officeDocument/2006/extended-properties">
  <Application>Essential XlsIO</Application>
  <AppVersion>16.0300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wp1sdwk0002ON$</dc:creator>
  <dcterms:created xsi:type="dcterms:W3CDTF">2026-09-09T14:47:23Z</dcterms:created>
  <dcterms:modified xsi:type="dcterms:W3CDTF">2026-09-09T14:47:23Z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